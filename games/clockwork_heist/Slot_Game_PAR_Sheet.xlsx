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AR" sheetId="1" state="visible" r:id="rId3"/>
    <sheet name="PAR Reelsets" sheetId="2" state="visible" r:id="rId4"/>
    <sheet name="Calc" sheetId="3" state="visible" r:id="rId5"/>
    <sheet name="FS Analysis" sheetId="4" state="visible" r:id="rId6"/>
    <sheet name="Simulation" sheetId="5" state="visible" r:id="rId7"/>
    <sheet name="Assumptions &amp; Gaps" sheetId="6" state="visible" r:id="rId8"/>
    <sheet name="GDD Mapping" sheetId="7" state="visible" r:id="rId9"/>
    <sheet name="Validation" sheetId="8" state="visible" r:id="rId10"/>
    <sheet name="Notes" sheetId="9" state="visible" r:id="rId11"/>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4" authorId="0">
      <text>
        <r>
          <rPr>
            <sz val="10"/>
            <rFont val="Arial"/>
            <family val="2"/>
          </rPr>
          <t xml:space="preserve">Paytable inherited from the template sheet (GDD: 'exact pay values are set in the math build').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-1357</xdr:colOff>
                <xdr:row>4</xdr:row>
                <xdr:rowOff>15</xdr:rowOff>
              </xdr:to>
            </anchor>
          </commentPr>
        </mc:Choice>
        <mc:Fallback/>
      </mc:AlternateContent>
    </comment>
    <comment ref="H22" authorId="0">
      <text>
        <r>
          <rPr>
            <sz val="10"/>
            <rFont val="Arial"/>
            <family val="2"/>
          </rPr>
          <t xml:space="preserve">Template table 3.1 was the scatter-overlay (SO) distribution. The GDD removes SO and adds the Gold Meter, so this table now holds the Gold Meter inputs.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-1357</xdr:colOff>
                <xdr:row>6</xdr:row>
                <xdr:rowOff>3</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V1" authorId="0">
      <text>
        <r>
          <rPr>
            <sz val="10"/>
            <rFont val="Arial"/>
            <family val="2"/>
          </rPr>
          <t xml:space="preserve">Added for Clockwork Heist (GDD feature 5). Not in the original template.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36</xdr:colOff>
                <xdr:row>3</xdr:row>
                <xdr:rowOff>18</xdr:rowOff>
              </xdr:to>
            </anchor>
          </commentPr>
        </mc:Choice>
        <mc:Fallback/>
      </mc:AlternateContent>
    </comment>
  </commentList>
</comments>
</file>

<file path=xl/sharedStrings.xml><?xml version="1.0" encoding="utf-8"?>
<sst xmlns="http://schemas.openxmlformats.org/spreadsheetml/2006/main" count="7320" uniqueCount="750">
  <si>
    <t xml:space="preserve">Base Game</t>
  </si>
  <si>
    <t xml:space="preserve">Reel setup</t>
  </si>
  <si>
    <t xml:space="preserve">This game is a 5 reel, 4 row (table 1.1), 40 line (tables 1.11; 0 indexed top to bottom) game with 11 normal symbols (M1-M6 premium: Pocket Watch, Ruby Gear, Coin Stack, Monocle, Lockpick Gloves, Brass Compass; F1-F5 low: A, K, Q, J, 10), a wild symbol (WD, Vault Key) and a scatter symbol (SC, Vault Door). WD can substitute for any symbol except SC.</t>
  </si>
  <si>
    <t xml:space="preserve">0, 0, 0, 0, 0</t>
  </si>
  <si>
    <t xml:space="preserve">1, 1, 1, 1, 1</t>
  </si>
  <si>
    <t xml:space="preserve">2, 2, 2, 2, 2</t>
  </si>
  <si>
    <t xml:space="preserve">3, 3, 3, 3, 3</t>
  </si>
  <si>
    <t xml:space="preserve">SC can only appear on reels 1,3 and 5, and WD can only appear on reels 2,3, and 4.</t>
  </si>
  <si>
    <t xml:space="preserve">X</t>
  </si>
  <si>
    <t xml:space="preserve">0, 1, 0, 1, 0</t>
  </si>
  <si>
    <t xml:space="preserve">1, 0, 1, 0, 1</t>
  </si>
  <si>
    <t xml:space="preserve">1, 2, 1, 2, 1</t>
  </si>
  <si>
    <t xml:space="preserve">2, 1, 2, 1, 2</t>
  </si>
  <si>
    <t xml:space="preserve">A spin is paid/won if 3 or more of the same symbol appear consecutively in a row starting from reel 1 following one of the paylines described in table 1.11 (aka line win)</t>
  </si>
  <si>
    <t xml:space="preserve">2, 3, 2, 3, 2</t>
  </si>
  <si>
    <t xml:space="preserve">3, 2, 3, 2, 3</t>
  </si>
  <si>
    <t xml:space="preserve">0, 3, 0, 3, 0</t>
  </si>
  <si>
    <t xml:space="preserve">3, 0, 3, 0, 3</t>
  </si>
  <si>
    <t xml:space="preserve">"PAR Reelsets" tab has the reel strip layout for each reel. Each reel stop is equally likely to land</t>
  </si>
  <si>
    <t xml:space="preserve">0, 1, 2, 1, 0</t>
  </si>
  <si>
    <t xml:space="preserve">1, 2, 3, 2, 1</t>
  </si>
  <si>
    <t xml:space="preserve">2, 1, 0, 1, 2</t>
  </si>
  <si>
    <t xml:space="preserve">3, 2, 1, 2, 3</t>
  </si>
  <si>
    <t xml:space="preserve">A spin is paid/won if 3 or more of the same symbol appear consecutively in a row starting from reel 1 following one of the paylines (aka line win). The amount paid and number of symbols to pay are described in table 2.1</t>
  </si>
  <si>
    <t xml:space="preserve">0, 0, 1, 0, 0</t>
  </si>
  <si>
    <t xml:space="preserve">1, 1, 2, 1, 1</t>
  </si>
  <si>
    <t xml:space="preserve">2, 2, 3, 2, 2</t>
  </si>
  <si>
    <t xml:space="preserve">3, 3, 0, 3, 3</t>
  </si>
  <si>
    <t xml:space="preserve">When a WD (Vault Key) lands on the screen, it will have a multiplier attached to it (visible on the symbol). This multiplier can be either 2x, 3x, or 5x. If that WD symbol is involved in a winning pay combo, multiply the win amount by the multiplier value on the WD symbol.</t>
  </si>
  <si>
    <t xml:space="preserve">3, 3, 2, 3, 3</t>
  </si>
  <si>
    <t xml:space="preserve">2, 2, 1, 2, 2</t>
  </si>
  <si>
    <t xml:space="preserve">1, 1, 0, 1, 1</t>
  </si>
  <si>
    <t xml:space="preserve">0, 0, 3, 0, 0</t>
  </si>
  <si>
    <t xml:space="preserve"> If multiple WD symbols are involved in a single line win, first add the multiplier values together, then apply the total to the win amount.</t>
  </si>
  <si>
    <t xml:space="preserve">0, 1, 1, 1, 0</t>
  </si>
  <si>
    <t xml:space="preserve">1, 2, 2, 2, 1</t>
  </si>
  <si>
    <t xml:space="preserve">2, 3, 3, 3, 2</t>
  </si>
  <si>
    <t xml:space="preserve">3, 0, 0, 0, 3</t>
  </si>
  <si>
    <t xml:space="preserve">The probability/weight distribution of multiplier values on WD symbols is described in table 2.2</t>
  </si>
  <si>
    <t xml:space="preserve">3, 2, 2, 2, 3</t>
  </si>
  <si>
    <t xml:space="preserve">2, 1, 1, 1, 2</t>
  </si>
  <si>
    <t xml:space="preserve">1, 0, 0, 0, 1</t>
  </si>
  <si>
    <t xml:space="preserve">0, 3, 3, 3, 0</t>
  </si>
  <si>
    <t xml:space="preserve">If 3 SC symbols land on the screen (1 each on reels 1, 3, and 5), trigger the free games feature. Base reels are built so that no window shows more than one SC per reel.</t>
  </si>
  <si>
    <t xml:space="preserve">1, 3, 1, 3, 1</t>
  </si>
  <si>
    <t xml:space="preserve">0, 2, 0, 2, 0</t>
  </si>
  <si>
    <t xml:space="preserve">2, 0, 2, 0, 2</t>
  </si>
  <si>
    <t xml:space="preserve">3, 1, 3, 1, 3</t>
  </si>
  <si>
    <t xml:space="preserve">All pays (table 2.1) are multiples of the TOTAL bet (confirmed by reproducing the template's stated 53.67% base RTP). Max win 25,000x applies per round (base spin + any free game session it triggers). STATUS: PROVISIONAL MATH - NOT CERTIFIED.</t>
  </si>
  <si>
    <t xml:space="preserve">3, 2, 1, 0, 1</t>
  </si>
  <si>
    <t xml:space="preserve">0, 1, 2, 3, 2</t>
  </si>
  <si>
    <t xml:space="preserve">3, 0, 1, 0, 3</t>
  </si>
  <si>
    <t xml:space="preserve">0, 3, 2, 3, 0</t>
  </si>
  <si>
    <t xml:space="preserve">Free Games</t>
  </si>
  <si>
    <t xml:space="preserve">Symbol</t>
  </si>
  <si>
    <t xml:space="preserve">5x</t>
  </si>
  <si>
    <t xml:space="preserve">4x</t>
  </si>
  <si>
    <t xml:space="preserve">3x</t>
  </si>
  <si>
    <t xml:space="preserve">Name</t>
  </si>
  <si>
    <t xml:space="preserve">WD multiplier value</t>
  </si>
  <si>
    <t xml:space="preserve">weight</t>
  </si>
  <si>
    <t xml:space="preserve">prob</t>
  </si>
  <si>
    <t xml:space="preserve">If 3 SC symbols land on the screen (1 each on reels 1, 3, and 5), trigger the free games feature with 8 free spins.</t>
  </si>
  <si>
    <t xml:space="preserve">M1</t>
  </si>
  <si>
    <t xml:space="preserve">Pocket Watch</t>
  </si>
  <si>
    <t xml:space="preserve">The free games play similar to the base game with the additional rule that any WD that lands remains locked in position for the duration of the free game session (aka "sticky" wilds). The multiplier that the WD symbol initially lands with remains the same throughout the session as well.</t>
  </si>
  <si>
    <t xml:space="preserve">M2</t>
  </si>
  <si>
    <t xml:space="preserve">Ruby Gear</t>
  </si>
  <si>
    <t xml:space="preserve">Gold Meter (replaces the template's scatter-overlay retrigger): every Vault Key that lands on an empty (not already locked) position during free spins adds 1 to the meter. Each time the meter reaches 5 keys it awards +3 free spins, added to the remaining count, then resets (excess keys carry over). Parameters in table 3.1.</t>
  </si>
  <si>
    <t xml:space="preserve">M3</t>
  </si>
  <si>
    <t xml:space="preserve">Coin Stack</t>
  </si>
  <si>
    <t xml:space="preserve">There is no scatter retrigger in free spins (free-game reels contain no SC). At most 12 positions can lock (reels 2-4 x 4 rows), so the meter can award at most +6 spins (max 14 spins per session).</t>
  </si>
  <si>
    <t xml:space="preserve">M4</t>
  </si>
  <si>
    <t xml:space="preserve">Monocle</t>
  </si>
  <si>
    <t xml:space="preserve">The Gold Meter does not carry over between free game sessions or between buys (PROVISIONAL - GDD open question, assumed no).</t>
  </si>
  <si>
    <t xml:space="preserve">M5</t>
  </si>
  <si>
    <t xml:space="preserve">Lockpick Gloves</t>
  </si>
  <si>
    <t xml:space="preserve">Each free game spin uses separate reel strips from the base game, which are described in "PAR Reelsets". Free-game reels use stacks of 4 for normal symbols.</t>
  </si>
  <si>
    <t xml:space="preserve">M6</t>
  </si>
  <si>
    <t xml:space="preserve">Brass Compass</t>
  </si>
  <si>
    <t xml:space="preserve">If the total win amount for a free games session is less than 10x bet, award 10x bet at the end of the free spin session (in other words, the minimum award of a free games session is 10x)</t>
  </si>
  <si>
    <t xml:space="preserve">F1</t>
  </si>
  <si>
    <t xml:space="preserve">A</t>
  </si>
  <si>
    <t xml:space="preserve">F2</t>
  </si>
  <si>
    <t xml:space="preserve">K</t>
  </si>
  <si>
    <t xml:space="preserve">Gold Meter parameter</t>
  </si>
  <si>
    <t xml:space="preserve">value</t>
  </si>
  <si>
    <t xml:space="preserve">source</t>
  </si>
  <si>
    <t xml:space="preserve">The max win in the game is 25,000x bet (base game win and free game session). If a free games session reaches 25,000x bet, the session ends, the win is awarded, and no more free spins are played.</t>
  </si>
  <si>
    <t xml:space="preserve">F3</t>
  </si>
  <si>
    <t xml:space="preserve">Q</t>
  </si>
  <si>
    <t xml:space="preserve">Keys per award</t>
  </si>
  <si>
    <t xml:space="preserve">GDD</t>
  </si>
  <si>
    <t xml:space="preserve">F4</t>
  </si>
  <si>
    <t xml:space="preserve">J</t>
  </si>
  <si>
    <t xml:space="preserve">Spins per award</t>
  </si>
  <si>
    <t xml:space="preserve">F5</t>
  </si>
  <si>
    <t xml:space="preserve">10</t>
  </si>
  <si>
    <t xml:space="preserve">Initial free spins</t>
  </si>
  <si>
    <t xml:space="preserve">Min session award (x bet)</t>
  </si>
  <si>
    <t xml:space="preserve">Max win (x bet)</t>
  </si>
  <si>
    <t xml:space="preserve">Bonus Buy</t>
  </si>
  <si>
    <t xml:space="preserve">Meter carries over between sessions (1=yes)</t>
  </si>
  <si>
    <t xml:space="preserve">PROVISIONAL</t>
  </si>
  <si>
    <t xml:space="preserve">The player can choose to buy a free game session (still with 8 initial spins) for 100x bet. Once the player places the 100x bet, the free games are triggered with a single spin that guarantees a 3 SC symbol trigger. The reel strips used to do so are described in "PAR Reelsets". </t>
  </si>
  <si>
    <t xml:space="preserve">The free games are played normally, using the same strips and pays as if it triggered from the base game with a bet of 1x.</t>
  </si>
  <si>
    <t xml:space="preserve">The trigger spin cannot pay a line win: buy reel 2 shares no symbols with buy reel 1 and the buy reels contain no WD.</t>
  </si>
  <si>
    <t xml:space="preserve">Max Win or Nothing</t>
  </si>
  <si>
    <t xml:space="preserve">A single purchased spin for 1000x bet on its own reelset (RSM1-RSM5). If any payline shows 5 matching symbols it pays the max win of 25,000x bet, otherwise it pays 0. Any symbol counts; the mode reels contain no WD or SC.</t>
  </si>
  <si>
    <t xml:space="preserve">The outcome class is chosen first (win with probability in table 4.1, otherwise lose); the screen is then drawn from the RSM reels to match the class (win: at least one 5-of-a-kind line; lose: none). Stake Engine plays back pre-generated outcomes, so this is the book weighting.</t>
  </si>
  <si>
    <t xml:space="preserve">Parameter</t>
  </si>
  <si>
    <t xml:space="preserve">Value</t>
  </si>
  <si>
    <t xml:space="preserve">Source</t>
  </si>
  <si>
    <t xml:space="preserve">Lose screens are drawn to show a near miss (an exact 4-of-a-kind line) per the GDD. PROVISIONAL: confirm near-miss presentation is allowed under Stake Engine / jurisdiction rules.</t>
  </si>
  <si>
    <t xml:space="preserve">Price (x bet)</t>
  </si>
  <si>
    <t xml:space="preserve">Prize (x bet)</t>
  </si>
  <si>
    <t xml:space="preserve">Bonus Buy and Max Win or Nothing prices are inputs (Calc!C94 and table 4.1).</t>
  </si>
  <si>
    <t xml:space="preserve">Win probability</t>
  </si>
  <si>
    <t xml:space="preserve">PROVISIONAL (GDD open: 3.8% vs 3.84%)</t>
  </si>
  <si>
    <t xml:space="preserve">RTP</t>
  </si>
  <si>
    <t xml:space="preserve">Legend: blue = editable input; yellow-shaded = PROVISIONAL value; black = formula; purple = value from math_model.py; green = value from slot_simulator.py. See the Notes sheet.</t>
  </si>
  <si>
    <t xml:space="preserve">Hit interval (buys)</t>
  </si>
  <si>
    <t xml:space="preserve">RTP at GDD's 3.8%</t>
  </si>
  <si>
    <t xml:space="preserve">Std dev per unit stake</t>
  </si>
  <si>
    <t xml:space="preserve">P(lose) per buy</t>
  </si>
  <si>
    <t xml:space="preserve">RS1</t>
  </si>
  <si>
    <t xml:space="preserve">RS2</t>
  </si>
  <si>
    <t xml:space="preserve">RS3</t>
  </si>
  <si>
    <t xml:space="preserve">RS4</t>
  </si>
  <si>
    <t xml:space="preserve">RS5</t>
  </si>
  <si>
    <t xml:space="preserve">Free Game</t>
  </si>
  <si>
    <t xml:space="preserve">RSF1</t>
  </si>
  <si>
    <t xml:space="preserve">RSF2</t>
  </si>
  <si>
    <t xml:space="preserve">RSF3</t>
  </si>
  <si>
    <t xml:space="preserve">RSF4</t>
  </si>
  <si>
    <t xml:space="preserve">RSF5</t>
  </si>
  <si>
    <t xml:space="preserve">Bonus Buy Trigger Screen</t>
  </si>
  <si>
    <t xml:space="preserve">RSB1</t>
  </si>
  <si>
    <t xml:space="preserve">RSB2</t>
  </si>
  <si>
    <t xml:space="preserve">RSB3</t>
  </si>
  <si>
    <t xml:space="preserve">RSB4</t>
  </si>
  <si>
    <t xml:space="preserve">RSB5</t>
  </si>
  <si>
    <t xml:space="preserve">RSM1</t>
  </si>
  <si>
    <t xml:space="preserve">RSM2</t>
  </si>
  <si>
    <t xml:space="preserve">RSM3</t>
  </si>
  <si>
    <t xml:space="preserve">RSM4</t>
  </si>
  <si>
    <t xml:space="preserve">RSM5</t>
  </si>
  <si>
    <t xml:space="preserve">SC</t>
  </si>
  <si>
    <t xml:space="preserve">Presentation reels only (see PAR table 4.1)</t>
  </si>
  <si>
    <t xml:space="preserve">WD</t>
  </si>
  <si>
    <t xml:space="preserve">Calc - live formulas (supplementary sheet added to the template)</t>
  </si>
  <si>
    <t xml:space="preserve">Closed-form math driven by 'PAR Reelsets' (strips) and 'PAR' (pays, multipliers). Edit inputs there and this sheet recalculates. Free-spins session value needs a Markov chain / simulation and is entered as a value (purple / green).</t>
  </si>
  <si>
    <t xml:space="preserve">1. Symbol counts per reel (COUNTIF on PAR Reelsets)</t>
  </si>
  <si>
    <t xml:space="preserve">base R1</t>
  </si>
  <si>
    <t xml:space="preserve">base R2</t>
  </si>
  <si>
    <t xml:space="preserve">base R3</t>
  </si>
  <si>
    <t xml:space="preserve">base R4</t>
  </si>
  <si>
    <t xml:space="preserve">base R5</t>
  </si>
  <si>
    <t xml:space="preserve">free R1</t>
  </si>
  <si>
    <t xml:space="preserve">free R2</t>
  </si>
  <si>
    <t xml:space="preserve">free R3</t>
  </si>
  <si>
    <t xml:space="preserve">free R4</t>
  </si>
  <si>
    <t xml:space="preserve">free R5</t>
  </si>
  <si>
    <t xml:space="preserve">buy R1</t>
  </si>
  <si>
    <t xml:space="preserve">buy R2</t>
  </si>
  <si>
    <t xml:space="preserve">buy R3</t>
  </si>
  <si>
    <t xml:space="preserve">buy R4</t>
  </si>
  <si>
    <t xml:space="preserve">buy R5</t>
  </si>
  <si>
    <t xml:space="preserve">mwon R1</t>
  </si>
  <si>
    <t xml:space="preserve">mwon R2</t>
  </si>
  <si>
    <t xml:space="preserve">mwon R3</t>
  </si>
  <si>
    <t xml:space="preserve">mwon R4</t>
  </si>
  <si>
    <t xml:space="preserve">mwon R5</t>
  </si>
  <si>
    <t xml:space="preserve">Reel length</t>
  </si>
  <si>
    <t xml:space="preserve">Counts sum to length</t>
  </si>
  <si>
    <t xml:space="preserve">2. Stop probabilities P(symbol in a given row)  [uniform stops on circular strips]</t>
  </si>
  <si>
    <t xml:space="preserve">Sum (must be 1)</t>
  </si>
  <si>
    <t xml:space="preserve">3. Base game: expected pay of ONE line (x total bet), wild multipliers additive</t>
  </si>
  <si>
    <t xml:space="preserve">Pay 3</t>
  </si>
  <si>
    <t xml:space="preserve">Pay 4</t>
  </si>
  <si>
    <t xml:space="preserve">Pay 5</t>
  </si>
  <si>
    <t xml:space="preserve">P(exactly 3)</t>
  </si>
  <si>
    <t xml:space="preserve">P(exactly 4)</t>
  </si>
  <si>
    <t xml:space="preserve">P(5)</t>
  </si>
  <si>
    <t xml:space="preserve">EV 3oak</t>
  </si>
  <si>
    <t xml:space="preserve">EV 4oak</t>
  </si>
  <si>
    <t xml:space="preserve">EV 5oak</t>
  </si>
  <si>
    <t xml:space="preserve">EV no-wild</t>
  </si>
  <si>
    <t xml:space="preserve">EV wild-assisted</t>
  </si>
  <si>
    <t xml:space="preserve">RTP (all lines)</t>
  </si>
  <si>
    <t xml:space="preserve">Total</t>
  </si>
  <si>
    <t xml:space="preserve">4. Free games, spin with NO locked keys: expected pay of ONE line (cross-check of the free reels)</t>
  </si>
  <si>
    <t xml:space="preserve">5. Scatter trigger (spacing &gt;= 4 verified, so P(SC visible) = 4 x count / length)</t>
  </si>
  <si>
    <t xml:space="preserve">Reel 1</t>
  </si>
  <si>
    <t xml:space="preserve">Reel 3</t>
  </si>
  <si>
    <t xml:space="preserve">Reel 5</t>
  </si>
  <si>
    <t xml:space="preserve">P(trigger) per paid spin</t>
  </si>
  <si>
    <t xml:space="preserve">Trigger interval (1 in)</t>
  </si>
  <si>
    <t xml:space="preserve">6. RTP roll-up</t>
  </si>
  <si>
    <t xml:space="preserve">Number of paylines</t>
  </si>
  <si>
    <t xml:space="preserve">Mean wild multiplier E[m]</t>
  </si>
  <si>
    <t xml:space="preserve">Base line RTP, no-wild part</t>
  </si>
  <si>
    <t xml:space="preserve">Base game line RTP (formula)</t>
  </si>
  <si>
    <t xml:space="preserve">P(trigger)</t>
  </si>
  <si>
    <t xml:space="preserve">FS session EV, uncapped and before the 10x floor (math_model.py Markov chain)</t>
  </si>
  <si>
    <t xml:space="preserve">value from runs/analytic.json</t>
  </si>
  <si>
    <t xml:space="preserve">FS 10x minimum top-up per session (simulation, 4M sessions)</t>
  </si>
  <si>
    <t xml:space="preserve">value; SE of S from simulation = 0.094x</t>
  </si>
  <si>
    <t xml:space="preserve">FS 25,000x cap haircut per session (simulation; no session reached the cap)</t>
  </si>
  <si>
    <t xml:space="preserve">FS session value S (x bet)</t>
  </si>
  <si>
    <t xml:space="preserve">FS expected spins (Markov chain)</t>
  </si>
  <si>
    <t xml:space="preserve">Free games RTP contribution = P(trigger) x S</t>
  </si>
  <si>
    <t xml:space="preserve">TOTAL base-game RTP (theoretical)</t>
  </si>
  <si>
    <t xml:space="preserve">Bonus Buy trigger-spin line EV (buy reels cannot pay)</t>
  </si>
  <si>
    <t xml:space="preserve">Bonus Buy RTP = (trigger EV + S) / price</t>
  </si>
  <si>
    <t xml:space="preserve">Max Win or Nothing RTP</t>
  </si>
  <si>
    <t xml:space="preserve">Bonus Buy price (x bet)</t>
  </si>
  <si>
    <t xml:space="preserve">FS spin-1 line RTP (no locked keys, all lines)</t>
  </si>
  <si>
    <t xml:space="preserve">Check: Excel base line RTP vs math_model.py</t>
  </si>
  <si>
    <t xml:space="preserve">math_model.py value 0.5357242249</t>
  </si>
  <si>
    <t xml:space="preserve">Note: the 10x floor and the 25,000x cap are non-linear in the session total, so they come from simulation; everything else above is exact.</t>
  </si>
  <si>
    <t xml:space="preserve">Free Spins - exact Markov-chain results (math_model.py)</t>
  </si>
  <si>
    <t xml:space="preserve">State = sticky-key mask on the 12 cells of reels 2-4 (4096 states). Keys landed = locked cells, so the Gold Meter is a function of the mask. Values are uncapped and before the 10x floor. Purple = math_model.py; green = simulation.</t>
  </si>
  <si>
    <t xml:space="preserve">Spin #</t>
  </si>
  <si>
    <t xml:space="preserve">P(spin is played)</t>
  </si>
  <si>
    <t xml:space="preserve">E[win on this spin | played]</t>
  </si>
  <si>
    <t xml:space="preserve">E[win contribution]</t>
  </si>
  <si>
    <t xml:space="preserve">Session length (spins)</t>
  </si>
  <si>
    <t xml:space="preserve">P (analytic)</t>
  </si>
  <si>
    <t xml:space="preserve">P (simulated)</t>
  </si>
  <si>
    <t xml:space="preserve">Keys landed per session</t>
  </si>
  <si>
    <t xml:space="preserve">Gold Meter awards per session</t>
  </si>
  <si>
    <t xml:space="preserve">Sum</t>
  </si>
  <si>
    <t xml:space="preserve">E[awards]</t>
  </si>
  <si>
    <t xml:space="preserve">E[extra spins from meter]</t>
  </si>
  <si>
    <t xml:space="preserve">P(meter fills at least once)</t>
  </si>
  <si>
    <t xml:space="preserve">&lt;- expected spins and expected session win (uncapped, no floor)</t>
  </si>
  <si>
    <t xml:space="preserve">E[keys]</t>
  </si>
  <si>
    <t xml:space="preserve">Monte Carlo results (slot_simulator.py) - values, green</t>
  </si>
  <si>
    <t xml:space="preserve">numpy PCG64, batch seed = [seed, batch]. Base: 8 x 5,000,000 paid spins (seed 1001). Bonus Buy: 8 x 500,000 buys (seed 2002). Max Win or Nothing: 4 x 1,000,000 buys (seed 3003). RTP is per unit of the mode's price.</t>
  </si>
  <si>
    <t xml:space="preserve">Metric</t>
  </si>
  <si>
    <t xml:space="preserve">Base game</t>
  </si>
  <si>
    <t xml:space="preserve">Bonus Buy (100x)</t>
  </si>
  <si>
    <t xml:space="preserve">Max Win or Nothing (1000x)</t>
  </si>
  <si>
    <t xml:space="preserve">Rounds simulated</t>
  </si>
  <si>
    <t xml:space="preserve">Total cost (x bet)</t>
  </si>
  <si>
    <t xml:space="preserve">Theoretical RTP</t>
  </si>
  <si>
    <t xml:space="preserve">Simulated RTP</t>
  </si>
  <si>
    <t xml:space="preserve">Standard error</t>
  </si>
  <si>
    <t xml:space="preserve">95% CI low</t>
  </si>
  <si>
    <t xml:space="preserve">95% CI high</t>
  </si>
  <si>
    <t xml:space="preserve">z = (sim - theory) / SE</t>
  </si>
  <si>
    <t xml:space="preserve">Theory inside 95% CI?</t>
  </si>
  <si>
    <t xml:space="preserve">Variance per unit stake</t>
  </si>
  <si>
    <t xml:space="preserve">Volatility index (1.96 x SD)</t>
  </si>
  <si>
    <t xml:space="preserve">Skewness</t>
  </si>
  <si>
    <t xml:space="preserve">Excess kurtosis</t>
  </si>
  <si>
    <t xml:space="preserve">Any-win frequency</t>
  </si>
  <si>
    <t xml:space="preserve">P(zero payout)</t>
  </si>
  <si>
    <t xml:space="preserve">Mean win given a win (x bet)</t>
  </si>
  <si>
    <t xml:space="preserve">Largest round win observed (x bet)</t>
  </si>
  <si>
    <t xml:space="preserve">Base game components</t>
  </si>
  <si>
    <t xml:space="preserve">Simulated</t>
  </si>
  <si>
    <t xml:space="preserve">Theoretical</t>
  </si>
  <si>
    <t xml:space="preserve">Line-win RTP (simulated)</t>
  </si>
  <si>
    <t xml:space="preserve">  of which wild-assisted</t>
  </si>
  <si>
    <t xml:space="preserve">Free games RTP (simulated)</t>
  </si>
  <si>
    <t xml:space="preserve">Line hit frequency</t>
  </si>
  <si>
    <t xml:space="preserve">Triggers per spin</t>
  </si>
  <si>
    <t xml:space="preserve">Mean FS session (triggered from base)</t>
  </si>
  <si>
    <t xml:space="preserve">Rounds reaching 25,000x</t>
  </si>
  <si>
    <t xml:space="preserve">Free Spins session (from 4,000,000 Bonus Buys)</t>
  </si>
  <si>
    <t xml:space="preserve">Mean session award (x bet)</t>
  </si>
  <si>
    <t xml:space="preserve">SD of session award</t>
  </si>
  <si>
    <t xml:space="preserve">SE of mean</t>
  </si>
  <si>
    <t xml:space="preserve">Median</t>
  </si>
  <si>
    <t xml:space="preserve">P(session paid the 10x minimum)</t>
  </si>
  <si>
    <t xml:space="preserve">Mean top-up from the 10x minimum</t>
  </si>
  <si>
    <t xml:space="preserve">Raw mean (before floor)</t>
  </si>
  <si>
    <t xml:space="preserve">Analytic raw mean (Markov chain)</t>
  </si>
  <si>
    <t xml:space="preserve">&lt;- sim minus analytic (raw)</t>
  </si>
  <si>
    <t xml:space="preserve">Mean spins per session</t>
  </si>
  <si>
    <t xml:space="preserve">Analytic mean spins</t>
  </si>
  <si>
    <t xml:space="preserve">Mean keys landed</t>
  </si>
  <si>
    <t xml:space="preserve">Analytic mean keys</t>
  </si>
  <si>
    <t xml:space="preserve">Sessions reaching cap</t>
  </si>
  <si>
    <t xml:space="preserve">10th / 25th / 50th / 75th / 90th / 99th / 99.9th pct</t>
  </si>
  <si>
    <t xml:space="preserve">10.0 / 10.0 / 20.2 / 88.4 / 279.5 / 897.9 / 1,737.4</t>
  </si>
  <si>
    <t xml:space="preserve">Largest session</t>
  </si>
  <si>
    <t xml:space="preserve">Win distribution per round (x mode price for RTP share; bands in x bet)</t>
  </si>
  <si>
    <t xml:space="preserve">Band (x bet)</t>
  </si>
  <si>
    <t xml:space="preserve">Base P</t>
  </si>
  <si>
    <t xml:space="preserve">Base RTP share</t>
  </si>
  <si>
    <t xml:space="preserve">Buy P</t>
  </si>
  <si>
    <t xml:space="preserve">Buy RTP share</t>
  </si>
  <si>
    <t xml:space="preserve">0 (no win)</t>
  </si>
  <si>
    <t xml:space="preserve">(0, 1)</t>
  </si>
  <si>
    <t xml:space="preserve">[1, 2)</t>
  </si>
  <si>
    <t xml:space="preserve">[2, 5)</t>
  </si>
  <si>
    <t xml:space="preserve">[5, 10)</t>
  </si>
  <si>
    <t xml:space="preserve">[10, 20)</t>
  </si>
  <si>
    <t xml:space="preserve">[20, 50)</t>
  </si>
  <si>
    <t xml:space="preserve">[50, 100)</t>
  </si>
  <si>
    <t xml:space="preserve">[100, 250)</t>
  </si>
  <si>
    <t xml:space="preserve">[250, 500)</t>
  </si>
  <si>
    <t xml:space="preserve">[500, 1,000)</t>
  </si>
  <si>
    <t xml:space="preserve">[1,000, 2,500)</t>
  </si>
  <si>
    <t xml:space="preserve">[2,500, 5,000)</t>
  </si>
  <si>
    <t xml:space="preserve">[5,000, 10,000)</t>
  </si>
  <si>
    <t xml:space="preserve">[10,000, 25,000)</t>
  </si>
  <si>
    <t xml:space="preserve">&gt;= 25,000</t>
  </si>
  <si>
    <t xml:space="preserve">&gt;= 25,000 (max win)</t>
  </si>
  <si>
    <t xml:space="preserve">(the &gt;=25,000 row is a subset of the last band and is excluded from the sum)</t>
  </si>
  <si>
    <t xml:space="preserve">P(round win &gt; X x bet)</t>
  </si>
  <si>
    <t xml:space="preserve">Base</t>
  </si>
  <si>
    <t xml:space="preserve">1 in (base)</t>
  </si>
  <si>
    <t xml:space="preserve">Batch convergence</t>
  </si>
  <si>
    <t xml:space="preserve">Mode</t>
  </si>
  <si>
    <t xml:space="preserve">Batch</t>
  </si>
  <si>
    <t xml:space="preserve">Seed</t>
  </si>
  <si>
    <t xml:space="preserve">N</t>
  </si>
  <si>
    <t xml:space="preserve">SE</t>
  </si>
  <si>
    <t xml:space="preserve">Hit freq</t>
  </si>
  <si>
    <t xml:space="preserve">Max win</t>
  </si>
  <si>
    <t xml:space="preserve">base</t>
  </si>
  <si>
    <t xml:space="preserve">[1001, 0]</t>
  </si>
  <si>
    <t xml:space="preserve">[1001, 1]</t>
  </si>
  <si>
    <t xml:space="preserve">[1001, 2]</t>
  </si>
  <si>
    <t xml:space="preserve">[1001, 3]</t>
  </si>
  <si>
    <t xml:space="preserve">[1001, 4]</t>
  </si>
  <si>
    <t xml:space="preserve">[1001, 5]</t>
  </si>
  <si>
    <t xml:space="preserve">[1001, 6]</t>
  </si>
  <si>
    <t xml:space="preserve">[1001, 7]</t>
  </si>
  <si>
    <t xml:space="preserve">buy</t>
  </si>
  <si>
    <t xml:space="preserve">[2002, 0]</t>
  </si>
  <si>
    <t xml:space="preserve">[2002, 1]</t>
  </si>
  <si>
    <t xml:space="preserve">[2002, 2]</t>
  </si>
  <si>
    <t xml:space="preserve">[2002, 3]</t>
  </si>
  <si>
    <t xml:space="preserve">[2002, 4]</t>
  </si>
  <si>
    <t xml:space="preserve">[2002, 5]</t>
  </si>
  <si>
    <t xml:space="preserve">[2002, 6]</t>
  </si>
  <si>
    <t xml:space="preserve">[2002, 7]</t>
  </si>
  <si>
    <t xml:space="preserve">mwon</t>
  </si>
  <si>
    <t xml:space="preserve">[3003, 0]</t>
  </si>
  <si>
    <t xml:space="preserve">[3003, 1]</t>
  </si>
  <si>
    <t xml:space="preserve">[3003, 2]</t>
  </si>
  <si>
    <t xml:space="preserve">[3003, 3]</t>
  </si>
  <si>
    <t xml:space="preserve">SD of batch RTPs vs mean SE (should be similar if batches are consistent)</t>
  </si>
  <si>
    <t xml:space="preserve">SD of batch RTP</t>
  </si>
  <si>
    <t xml:space="preserve">mean batch SE</t>
  </si>
  <si>
    <t xml:space="preserve">ratio</t>
  </si>
  <si>
    <t xml:space="preserve">Max Win or Nothing presentation (reel rejection sampling)</t>
  </si>
  <si>
    <t xml:space="preserve">Natural P(screen shows a 5-of-a-kind line) on RSM reels</t>
  </si>
  <si>
    <t xml:space="preserve">Natural P(screen shows exact 4-of-a-kind, no 5) on RSM reels</t>
  </si>
  <si>
    <t xml:space="preserve">Outcomes given a presentation screen</t>
  </si>
  <si>
    <t xml:space="preserve">Screens drawn to fill them</t>
  </si>
  <si>
    <t xml:space="preserve">Wins observed</t>
  </si>
  <si>
    <t xml:space="preserve">Assumptions, gaps and open decisions (full text in assumptions_and_gaps.md)</t>
  </si>
  <si>
    <t xml:space="preserve">ID</t>
  </si>
  <si>
    <t xml:space="preserve">Item</t>
  </si>
  <si>
    <t xml:space="preserve">Status</t>
  </si>
  <si>
    <t xml:space="preserve">GDD says</t>
  </si>
  <si>
    <t xml:space="preserve">Value used</t>
  </si>
  <si>
    <t xml:space="preserve">Rationale</t>
  </si>
  <si>
    <t xml:space="preserve">Effect on RTP / volatility</t>
  </si>
  <si>
    <t xml:space="preserve">G-01</t>
  </si>
  <si>
    <t xml:space="preserve">25,000x max win is effectively unreachable in base game / Bonus Buy</t>
  </si>
  <si>
    <t xml:space="preserve">FINDING - DECISION NEEDED</t>
  </si>
  <si>
    <t xml:space="preserve">Max win 25,000x in every mode; high volatility, heavy tail</t>
  </si>
  <si>
    <t xml:space="preserve">Cap implemented at 25,000x per round</t>
  </si>
  <si>
    <t xml:space="preserve">With 8 spins, +3 spins per 5 keys and no scatter retrigger, a session lasts at most 14 spins and 81% of sessions get no meter award. 4M buys: largest session 6,582x; P(&gt;5,000x)=3.5e-6; nothing above 10,000x. 40M base spins: largest round 4,889x.</t>
  </si>
  <si>
    <t xml:space="preserve">Only the Max Win or Nothing mode reaches 25,000x. Levers if the GDD wants it reachable elsewhere: a scatter retrigger in Free Spins, a lower meter threshold (e.g. 3 keys), more spins per award, or higher top pays (each needs re-tuning).</t>
  </si>
  <si>
    <t xml:space="preserve">G-02</t>
  </si>
  <si>
    <t xml:space="preserve">Gold Meter replaces the template's scatter-overlay retrigger</t>
  </si>
  <si>
    <t xml:space="preserve">FINDING</t>
  </si>
  <si>
    <t xml:space="preserve">'The pays may need lowering to compensate' for the meter</t>
  </si>
  <si>
    <t xml:space="preserve">Free-spin reels re-tuned: 18 WD per wild reel (template 7)</t>
  </si>
  <si>
    <t xml:space="preserve">Removing the scatter-overlay (which added 0.30 spins per spin, mean 11.4 spins) cuts the session value on the template reels from about 95x to 13x. The meter adds only 0.19 awards per session, so pays did not need lowering; wild density had to rise.</t>
  </si>
  <si>
    <t xml:space="preserve">Measured on the template reels with the Gold Meter: session value 18.4x including the 10x floor, total RTP 61.8%, Bonus Buy RTP 18.4%. Re-tuned, Free Spins contribute 42.46% of base RTP.</t>
  </si>
  <si>
    <t xml:space="preserve">A-01</t>
  </si>
  <si>
    <t xml:space="preserve">Paytable</t>
  </si>
  <si>
    <t xml:space="preserve">'Exact pay values are set in the math build'</t>
  </si>
  <si>
    <t xml:space="preserve">Template paytable kept unchanged (table 2.1)</t>
  </si>
  <si>
    <t xml:space="preserve">GDD says to start from the existing sheet; the pays already give a balanced base game (53.6% line RTP).</t>
  </si>
  <si>
    <t xml:space="preserve">All RTP figures scale with pays; tuning was done on reels so the paytable can still be re-priced.</t>
  </si>
  <si>
    <t xml:space="preserve">A-02</t>
  </si>
  <si>
    <t xml:space="preserve">Pay units</t>
  </si>
  <si>
    <t xml:space="preserve">VERIFIED</t>
  </si>
  <si>
    <t xml:space="preserve">Not stated</t>
  </si>
  <si>
    <t xml:space="preserve">Pays are multiples of TOTAL bet</t>
  </si>
  <si>
    <t xml:space="preserve">The engine reproduces the template's stated 53.67% base RTP exactly (53.6712%) only under this reading.</t>
  </si>
  <si>
    <t xml:space="preserve">If pays were per-line bet, every RTP would be /40.</t>
  </si>
  <si>
    <t xml:space="preserve">A-03</t>
  </si>
  <si>
    <t xml:space="preserve">Wild multiplier weights</t>
  </si>
  <si>
    <t xml:space="preserve">Values 2x/3x/5x; weights not given</t>
  </si>
  <si>
    <t xml:space="preserve">2x 60%, 3x 30%, 5x 10% (mean 2.6), same in base and Free Spins</t>
  </si>
  <si>
    <t xml:space="preserve">Template weights 6/3/1.</t>
  </si>
  <si>
    <t xml:space="preserve">Raising the 5x weight raises RTP and the tail strongly (wild-assisted wins are 81.7% of base line RTP).</t>
  </si>
  <si>
    <t xml:space="preserve">A-04</t>
  </si>
  <si>
    <t xml:space="preserve">Multiple wilds on a line</t>
  </si>
  <si>
    <t xml:space="preserve">Multipliers add, then apply</t>
  </si>
  <si>
    <t xml:space="preserve">Implemented; a line with no wild pays x1</t>
  </si>
  <si>
    <t xml:space="preserve">GDD and template text.</t>
  </si>
  <si>
    <t xml:space="preserve">-</t>
  </si>
  <si>
    <t xml:space="preserve">A-05</t>
  </si>
  <si>
    <t xml:space="preserve">Scatter pays</t>
  </si>
  <si>
    <t xml:space="preserve">Scatter only triggers Free Spins</t>
  </si>
  <si>
    <t xml:space="preserve">No scatter pay; exactly one SC per reel 1/3/5 window (strips spaced &gt;= 4)</t>
  </si>
  <si>
    <t xml:space="preserve">GDD lists no scatter pay.</t>
  </si>
  <si>
    <t xml:space="preserve">None; a scatter pay would add RTP.</t>
  </si>
  <si>
    <t xml:space="preserve">A-06</t>
  </si>
  <si>
    <t xml:space="preserve">Trigger-spin line wins</t>
  </si>
  <si>
    <t xml:space="preserve">Paid in addition to the Free Spins award (base game)</t>
  </si>
  <si>
    <t xml:space="preserve">Template convention.</t>
  </si>
  <si>
    <t xml:space="preserve">Included in base line RTP; no double counting (line wins and FS are separate components).</t>
  </si>
  <si>
    <t xml:space="preserve">A-07</t>
  </si>
  <si>
    <t xml:space="preserve">Free-Spins retrigger</t>
  </si>
  <si>
    <t xml:space="preserve">None mentioned</t>
  </si>
  <si>
    <t xml:space="preserve">No retrigger; Free-Spins reels contain no SC</t>
  </si>
  <si>
    <t xml:space="preserve">GDD lists only the Gold Meter as a spin extender.</t>
  </si>
  <si>
    <t xml:space="preserve">See G-01: it limits the tail.</t>
  </si>
  <si>
    <t xml:space="preserve">A-08</t>
  </si>
  <si>
    <t xml:space="preserve">Which keys the Gold Meter counts</t>
  </si>
  <si>
    <t xml:space="preserve">'Counts Vault Keys landed in Free Spins'</t>
  </si>
  <si>
    <t xml:space="preserve">Counts keys landing on empty (non-locked) positions only</t>
  </si>
  <si>
    <t xml:space="preserve">A locked key covers that position, so nothing can land under it.</t>
  </si>
  <si>
    <t xml:space="preserve">Meter fills in 19.2% of sessions; counting covered positions would need a rule for what lands there.</t>
  </si>
  <si>
    <t xml:space="preserve">A-09</t>
  </si>
  <si>
    <t xml:space="preserve">Meter overflow</t>
  </si>
  <si>
    <t xml:space="preserve">'At 5 keys it awards +3 free spins, then resets'</t>
  </si>
  <si>
    <t xml:space="preserve">Excess keys carry over within the session (e.g. 3 + 4 keys = award, meter at 2)</t>
  </si>
  <si>
    <t xml:space="preserve">Avoids losing keys when several land at once.</t>
  </si>
  <si>
    <t xml:space="preserve">Small: P(2 awards) = 0.06%.</t>
  </si>
  <si>
    <t xml:space="preserve">A-10</t>
  </si>
  <si>
    <t xml:space="preserve">Meter carry-over between sessions / buys</t>
  </si>
  <si>
    <t xml:space="preserve">PROVISIONAL (GDD assumed no)</t>
  </si>
  <si>
    <t xml:space="preserve">Open question</t>
  </si>
  <si>
    <t xml:space="preserve">No carry-over</t>
  </si>
  <si>
    <t xml:space="preserve">GDD's stated assumption.</t>
  </si>
  <si>
    <t xml:space="preserve">Carry-over would add RTP and create a persistent state that Stake Engine books do not support well.</t>
  </si>
  <si>
    <t xml:space="preserve">A-11</t>
  </si>
  <si>
    <t xml:space="preserve">10x minimum session award</t>
  </si>
  <si>
    <t xml:space="preserve">'Minimum session award is 10x bet'</t>
  </si>
  <si>
    <t xml:space="preserve">Applies to the Free-Spins session total (not the trigger-spin line win), applied before the 25,000x cap</t>
  </si>
  <si>
    <t xml:space="preserve">Template wording.</t>
  </si>
  <si>
    <t xml:space="preserve">Paid in 39.4% of sessions; adds 2.96x per session (3.1% of Bonus Buy RTP).</t>
  </si>
  <si>
    <t xml:space="preserve">A-12</t>
  </si>
  <si>
    <t xml:space="preserve">25,000x cap scope</t>
  </si>
  <si>
    <t xml:space="preserve">'Free Spins end ... when total win reaches the 25,000x cap'</t>
  </si>
  <si>
    <t xml:space="preserve">Cap on the round: base spin + its Free-Spins session</t>
  </si>
  <si>
    <t xml:space="preserve">Template wording ('base game win and free game session').</t>
  </si>
  <si>
    <t xml:space="preserve">No simulated round reached it (G-01).</t>
  </si>
  <si>
    <t xml:space="preserve">A-13</t>
  </si>
  <si>
    <t xml:space="preserve">Reel strips</t>
  </si>
  <si>
    <t xml:space="preserve">Reels to be tuned in simulation</t>
  </si>
  <si>
    <t xml:space="preserve">New seeded strips; base counts from the template (+1 '10' on reels 2 and 4); Free Spins 18 WD per wild reel and +6 '10' on reels 2-4</t>
  </si>
  <si>
    <t xml:space="preserve">Re-tuned to about 96% after the Gold Meter change.</t>
  </si>
  <si>
    <t xml:space="preserve">Base line 53.57%; FS 42.46%; total 96.03%.</t>
  </si>
  <si>
    <t xml:space="preserve">A-14</t>
  </si>
  <si>
    <t xml:space="preserve">Stacked symbols in Free Spins</t>
  </si>
  <si>
    <t xml:space="preserve">High volatility wanted</t>
  </si>
  <si>
    <t xml:space="preserve">Normal symbols in stacks of 4 on all Free-Spins reels</t>
  </si>
  <si>
    <t xml:space="preserve">Stacks correlate lines, so the tail gets heavier without changing symbol counts.</t>
  </si>
  <si>
    <t xml:space="preserve">Test on the same symbol counts (200k buys): session SD rose from 173x to 207x and P(session &gt; 1,000x) from 0.45% to 0.94%; the mean also moved (+4.7%) and was re-tuned afterwards.</t>
  </si>
  <si>
    <t xml:space="preserve">A-15</t>
  </si>
  <si>
    <t xml:space="preserve">Bonus Buy trigger screen</t>
  </si>
  <si>
    <t xml:space="preserve">Pay 100x to start Free Spins directly</t>
  </si>
  <si>
    <t xml:space="preserve">Trigger reels show exactly one SC per reel 1/3/5 window and can never form a line win</t>
  </si>
  <si>
    <t xml:space="preserve">Same design as the template.</t>
  </si>
  <si>
    <t xml:space="preserve">Bonus Buy RTP = session value / 100 = 96.08%.</t>
  </si>
  <si>
    <t xml:space="preserve">A-16</t>
  </si>
  <si>
    <t xml:space="preserve">Max Win or Nothing hit chance</t>
  </si>
  <si>
    <t xml:space="preserve">PROVISIONAL - DECISION NEEDED</t>
  </si>
  <si>
    <t xml:space="preserve">3.8% (95.0%); open: 3.84% gives 96.0%</t>
  </si>
  <si>
    <t xml:space="preserve">3.84% (96.0%), editable in PAR table 4.1</t>
  </si>
  <si>
    <t xml:space="preserve">GDD target 'about 96% in every mode'.</t>
  </si>
  <si>
    <t xml:space="preserve">3.8% gives 95.0%. Each 0.04% of hit chance is 1.0% of RTP.</t>
  </si>
  <si>
    <t xml:space="preserve">A-17</t>
  </si>
  <si>
    <t xml:space="preserve">Max Win or Nothing implementation</t>
  </si>
  <si>
    <t xml:space="preserve">'Exactly 3.8% (or 3.84%) of outcomes show a 5-symbol row'</t>
  </si>
  <si>
    <t xml:space="preserve">Outcome class drawn first, then a matching screen is drawn from stacked RSM reels by rejection</t>
  </si>
  <si>
    <t xml:space="preserve">An exact rational hit rate can't be reached by tuning reel strips alone; Stake Engine plays back weighted pre-made books anyway.</t>
  </si>
  <si>
    <t xml:space="preserve">RTP exact by construction; the reels only affect the presentation.</t>
  </si>
  <si>
    <t xml:space="preserve">A-18</t>
  </si>
  <si>
    <t xml:space="preserve">Max Win or Nothing symbols</t>
  </si>
  <si>
    <t xml:space="preserve">'Any symbol counts'</t>
  </si>
  <si>
    <t xml:space="preserve">RSM reels hold the 11 normal symbols only (no WD/SC)</t>
  </si>
  <si>
    <t xml:space="preserve">Avoids wild multipliers and scatters in an all-or-nothing mode.</t>
  </si>
  <si>
    <t xml:space="preserve">None on RTP.</t>
  </si>
  <si>
    <t xml:space="preserve">A-19</t>
  </si>
  <si>
    <t xml:space="preserve">Max Win or Nothing near-miss</t>
  </si>
  <si>
    <t xml:space="preserve">PROVISIONAL - COMPLIANCE CHECK</t>
  </si>
  <si>
    <t xml:space="preserve">Losses show a near miss (e.g. 4 of 5)</t>
  </si>
  <si>
    <t xml:space="preserve">Lose screens drawn to show an exact 4-of-a-kind line</t>
  </si>
  <si>
    <t xml:space="preserve">GDD.</t>
  </si>
  <si>
    <t xml:space="preserve">No RTP effect. Engineered near misses are restricted in some jurisdictions; confirm with Stake Engine rules. Natural near-miss rate on RSM reels is 0.74% of screens.</t>
  </si>
  <si>
    <t xml:space="preserve">A-20</t>
  </si>
  <si>
    <t xml:space="preserve">RTP equal across modes</t>
  </si>
  <si>
    <t xml:space="preserve">OPEN (GDD)</t>
  </si>
  <si>
    <t xml:space="preserve">Confirm in Stake Engine docs</t>
  </si>
  <si>
    <t xml:space="preserve">Base 96.03%, Bonus Buy 96.08%, MWoN 96.00%</t>
  </si>
  <si>
    <t xml:space="preserve">Within 0.08% of each other.</t>
  </si>
  <si>
    <t xml:space="preserve">A-21</t>
  </si>
  <si>
    <t xml:space="preserve">Bet scaling</t>
  </si>
  <si>
    <t xml:space="preserve">All values per 1 unit of total bet; wins scale linearly</t>
  </si>
  <si>
    <t xml:space="preserve">No coin or line-bet structure in the GDD.</t>
  </si>
  <si>
    <t xml:space="preserve">A-22</t>
  </si>
  <si>
    <t xml:space="preserve">Pipeline</t>
  </si>
  <si>
    <t xml:space="preserve">NOTE</t>
  </si>
  <si>
    <t xml:space="preserve">Stake Engine math-sdk + optimiser</t>
  </si>
  <si>
    <t xml:space="preserve">This PAR is a spin-by-spin model built before the SDK work</t>
  </si>
  <si>
    <t xml:space="preserve">Book generation and optimiser re-weighting will change the distribution.</t>
  </si>
  <si>
    <t xml:space="preserve">Re-validate RTP and the win distribution on the final books.</t>
  </si>
  <si>
    <t xml:space="preserve">GDD requirement -&gt; math model -&gt; workbook location</t>
  </si>
  <si>
    <t xml:space="preserve">GDD item</t>
  </si>
  <si>
    <t xml:space="preserve">Requirement</t>
  </si>
  <si>
    <t xml:space="preserve">How it is modelled</t>
  </si>
  <si>
    <t xml:space="preserve">Where</t>
  </si>
  <si>
    <t xml:space="preserve">Grid</t>
  </si>
  <si>
    <t xml:space="preserve">5 reels x 4 rows</t>
  </si>
  <si>
    <t xml:space="preserve">Window of 4 consecutive stops per reel, uniform stops on circular strips</t>
  </si>
  <si>
    <t xml:space="preserve">PAR 1.1; PAR Reelsets</t>
  </si>
  <si>
    <t xml:space="preserve">Paylines</t>
  </si>
  <si>
    <t xml:space="preserve">40, left to right, 3+ from reel 1</t>
  </si>
  <si>
    <t xml:space="preserve">Template's 40 lines; run length from reel 1</t>
  </si>
  <si>
    <t xml:space="preserve">PAR 1.11; Calc 3</t>
  </si>
  <si>
    <t xml:space="preserve">Symbols</t>
  </si>
  <si>
    <t xml:space="preserve">6 premium, 5 low, wild, scatter</t>
  </si>
  <si>
    <t xml:space="preserve">M1-M6 (Pocket Watch ... Brass Compass), F1-F5 (A K Q J 10), WD, SC</t>
  </si>
  <si>
    <t xml:space="preserve">PAR A3, G15:G26</t>
  </si>
  <si>
    <t xml:space="preserve">Wild placement</t>
  </si>
  <si>
    <t xml:space="preserve">Reels 2, 3, 4 only</t>
  </si>
  <si>
    <t xml:space="preserve">Strips checked (validate_config.py)</t>
  </si>
  <si>
    <t xml:space="preserve">Validation</t>
  </si>
  <si>
    <t xml:space="preserve">Wild multipliers</t>
  </si>
  <si>
    <t xml:space="preserve">2x/3x/5x; multiple keys add</t>
  </si>
  <si>
    <t xml:space="preserve">Additive multipliers on the winning line; weights 6/3/1</t>
  </si>
  <si>
    <t xml:space="preserve">PAR 2.2; Calc 3</t>
  </si>
  <si>
    <t xml:space="preserve">GDD + PROVISIONAL weights</t>
  </si>
  <si>
    <t xml:space="preserve">Scatter</t>
  </si>
  <si>
    <t xml:space="preserve">Reels 1, 3, 5; three trigger Free Spins</t>
  </si>
  <si>
    <t xml:space="preserve">Spacing &gt;= 4, so P(visible) = 4n/L; trigger = product</t>
  </si>
  <si>
    <t xml:space="preserve">Calc 5</t>
  </si>
  <si>
    <t xml:space="preserve">Line pays</t>
  </si>
  <si>
    <t xml:space="preserve">3/4/5 of a kind</t>
  </si>
  <si>
    <t xml:space="preserve">Template paytable</t>
  </si>
  <si>
    <t xml:space="preserve">PAR 2.1</t>
  </si>
  <si>
    <t xml:space="preserve">Free Spins</t>
  </si>
  <si>
    <t xml:space="preserve">8 spins, sticky keys keep their multiplier</t>
  </si>
  <si>
    <t xml:space="preserve">4096-state Markov chain (exact) + simulation</t>
  </si>
  <si>
    <t xml:space="preserve">FS Analysis; Calc 6</t>
  </si>
  <si>
    <t xml:space="preserve">Gold Meter</t>
  </si>
  <si>
    <t xml:space="preserve">5 keys -&gt; +3 spins, resets</t>
  </si>
  <si>
    <t xml:space="preserve">Keys = locked cells; awards = floor(keys/5)</t>
  </si>
  <si>
    <t xml:space="preserve">PAR 3.1; FS Analysis</t>
  </si>
  <si>
    <t xml:space="preserve">GDD + PROVISIONAL details</t>
  </si>
  <si>
    <t xml:space="preserve">Minimum award</t>
  </si>
  <si>
    <t xml:space="preserve">10x per session</t>
  </si>
  <si>
    <t xml:space="preserve">Floor top-up taken from simulation</t>
  </si>
  <si>
    <t xml:space="preserve">Calc C85; Simulation</t>
  </si>
  <si>
    <t xml:space="preserve">25,000x, session ends at cap</t>
  </si>
  <si>
    <t xml:space="preserve">Round cap in simulator</t>
  </si>
  <si>
    <t xml:space="preserve">PAR 3.1; Simulation</t>
  </si>
  <si>
    <t xml:space="preserve">GDD (see G-01)</t>
  </si>
  <si>
    <t xml:space="preserve">100x, starts Free Spins</t>
  </si>
  <si>
    <t xml:space="preserve">Guaranteed-trigger reels, no line win</t>
  </si>
  <si>
    <t xml:space="preserve">PAR A29-A33; Calc C92</t>
  </si>
  <si>
    <t xml:space="preserve">1000x, 25,000x or 0, own reelset</t>
  </si>
  <si>
    <t xml:space="preserve">Class weighting + RSM presentation reels</t>
  </si>
  <si>
    <t xml:space="preserve">PAR 4.1; PAR Reelsets V:AA</t>
  </si>
  <si>
    <t xml:space="preserve">GDD + PROVISIONAL p</t>
  </si>
  <si>
    <t xml:space="preserve">Target RTP</t>
  </si>
  <si>
    <t xml:space="preserve">About 96% in every mode</t>
  </si>
  <si>
    <t xml:space="preserve">Calc 6; Simulation</t>
  </si>
  <si>
    <t xml:space="preserve">Met (provisional)</t>
  </si>
  <si>
    <t xml:space="preserve">Volatility</t>
  </si>
  <si>
    <t xml:space="preserve">High; low hit rate, heavy tail</t>
  </si>
  <si>
    <t xml:space="preserve">Base SD 14.2x, hit rate 33.7%; tail limited (G-01)</t>
  </si>
  <si>
    <t xml:space="preserve">Simulation</t>
  </si>
  <si>
    <t xml:space="preserve">Partly met</t>
  </si>
  <si>
    <t xml:space="preserve">To simulate</t>
  </si>
  <si>
    <t xml:space="preserve">FS frequency, session win, how often the 10x floor pays</t>
  </si>
  <si>
    <t xml:space="preserve">1 in 226.3; 96.1x mean; floor in 39.4% of sessions</t>
  </si>
  <si>
    <t xml:space="preserve">Simulation; FS Analysis</t>
  </si>
  <si>
    <t xml:space="preserve">Done</t>
  </si>
  <si>
    <t xml:space="preserve">Gold Meter fill rate and its RTP</t>
  </si>
  <si>
    <t xml:space="preserve">Fills in 19.2% of sessions; +0.58 spins per session</t>
  </si>
  <si>
    <t xml:space="preserve">FS Analysis</t>
  </si>
  <si>
    <t xml:space="preserve">Validation checklist (live formula checks + Python structural checks)</t>
  </si>
  <si>
    <t xml:space="preserve">Check</t>
  </si>
  <si>
    <t xml:space="preserve">Result</t>
  </si>
  <si>
    <t xml:space="preserve">Detail</t>
  </si>
  <si>
    <t xml:space="preserve">All reel symbol counts sum to reel length</t>
  </si>
  <si>
    <t xml:space="preserve">Calc row 19</t>
  </si>
  <si>
    <t xml:space="preserve">Base reel probabilities sum to 1</t>
  </si>
  <si>
    <t xml:space="preserve">Calc row 36</t>
  </si>
  <si>
    <t xml:space="preserve">Free reel probabilities sum to 1</t>
  </si>
  <si>
    <t xml:space="preserve">WD multiplier probabilities sum to 1</t>
  </si>
  <si>
    <t xml:space="preserve">PAR table 2.2</t>
  </si>
  <si>
    <t xml:space="preserve">40 paylines present</t>
  </si>
  <si>
    <t xml:space="preserve">PAR table 1.11</t>
  </si>
  <si>
    <t xml:space="preserve">Excel base line RTP equals math_model.py</t>
  </si>
  <si>
    <t xml:space="preserve">Calc C96</t>
  </si>
  <si>
    <t xml:space="preserve">Excel free spin-1 line RTP equals math_model.py</t>
  </si>
  <si>
    <t xml:space="preserve">Calc C95</t>
  </si>
  <si>
    <t xml:space="preserve">FS spin-length distribution sums to 1</t>
  </si>
  <si>
    <t xml:space="preserve">FS Analysis H21</t>
  </si>
  <si>
    <t xml:space="preserve">FS per-spin play probabilities sum to E[spins]</t>
  </si>
  <si>
    <t xml:space="preserve">FS per-spin EVs sum to session EV</t>
  </si>
  <si>
    <t xml:space="preserve">Keys-landed distribution sums to 1</t>
  </si>
  <si>
    <t xml:space="preserve">FS Analysis L18</t>
  </si>
  <si>
    <t xml:space="preserve">Gold Meter award distribution sums to 1</t>
  </si>
  <si>
    <t xml:space="preserve">FS Analysis O8</t>
  </si>
  <si>
    <t xml:space="preserve">Base game theoretical RTP inside simulated 95% CI</t>
  </si>
  <si>
    <t xml:space="preserve">Simulation row 13</t>
  </si>
  <si>
    <t xml:space="preserve">Bonus Buy theoretical RTP inside simulated 95% CI</t>
  </si>
  <si>
    <t xml:space="preserve">Max Win or Nothing theoretical RTP inside simulated 95% CI</t>
  </si>
  <si>
    <t xml:space="preserve">Simulated raw FS session within 3 SE of the Markov chain</t>
  </si>
  <si>
    <t xml:space="preserve">Simulation D44</t>
  </si>
  <si>
    <t xml:space="preserve">Simulated trigger rate within 3 SE of the formula</t>
  </si>
  <si>
    <t xml:space="preserve">Simulation row 30</t>
  </si>
  <si>
    <t xml:space="preserve">Total RTP within 95.5%-96.5% (GDD: about 96%)</t>
  </si>
  <si>
    <t xml:space="preserve">Calc C90</t>
  </si>
  <si>
    <t xml:space="preserve">Bonus Buy RTP within 95.5%-96.5%</t>
  </si>
  <si>
    <t xml:space="preserve">Calc C92</t>
  </si>
  <si>
    <t xml:space="preserve">25,000x max win observed in base / buy simulations</t>
  </si>
  <si>
    <t xml:space="preserve">Simulation row 22</t>
  </si>
  <si>
    <t xml:space="preserve">Python structural checks (validate_config.py) - values</t>
  </si>
  <si>
    <t xml:space="preserve">40 paylines defined</t>
  </si>
  <si>
    <t xml:space="preserve">PASS</t>
  </si>
  <si>
    <t xml:space="preserve">40</t>
  </si>
  <si>
    <t xml:space="preserve">paylines unique</t>
  </si>
  <si>
    <t xml:space="preserve">payline rows within 0..3</t>
  </si>
  <si>
    <t xml:space="preserve">11 paying symbols (6 premium + 5 low)</t>
  </si>
  <si>
    <t xml:space="preserve">['F1', 'F2', 'F3', 'F4', 'F5', 'M1', 'M2', 'M3', 'M4', 'M5', 'M6']</t>
  </si>
  <si>
    <t xml:space="preserve">pays non-negative and monotone 3&lt;=4&lt;=5</t>
  </si>
  <si>
    <t xml:space="preserve">wild multiplier values are exactly 2,3,5 (GDD)</t>
  </si>
  <si>
    <t xml:space="preserve">{2: 0.6, 3: 0.3, 5: 0.1}</t>
  </si>
  <si>
    <t xml:space="preserve">wild multiplier probabilities sum to 1</t>
  </si>
  <si>
    <t xml:space="preserve">2.6</t>
  </si>
  <si>
    <t xml:space="preserve">base reel 1: stop probabilities sum to 1 (L=530)</t>
  </si>
  <si>
    <t xml:space="preserve">base reel 1: only known symbols</t>
  </si>
  <si>
    <t xml:space="preserve">['SC']</t>
  </si>
  <si>
    <t xml:space="preserve">base reel 1: no WD (WD only on reels 2-4)</t>
  </si>
  <si>
    <t xml:space="preserve">base reel 1: at most one SC per window</t>
  </si>
  <si>
    <t xml:space="preserve">{0: 0.8339622641509434, 1: 0.1660377358490566}</t>
  </si>
  <si>
    <t xml:space="preserve">base reel 2: stop probabilities sum to 1 (L=528)</t>
  </si>
  <si>
    <t xml:space="preserve">base reel 2: only known symbols</t>
  </si>
  <si>
    <t xml:space="preserve">['WD']</t>
  </si>
  <si>
    <t xml:space="preserve">base reel 2: no SC (SC only on reels 1,3,5)</t>
  </si>
  <si>
    <t xml:space="preserve">base reel 3: stop probabilities sum to 1 (L=549)</t>
  </si>
  <si>
    <t xml:space="preserve">base reel 3: only known symbols</t>
  </si>
  <si>
    <t xml:space="preserve">['SC', 'WD']</t>
  </si>
  <si>
    <t xml:space="preserve">base reel 3: at most one SC per window</t>
  </si>
  <si>
    <t xml:space="preserve">{0: 0.8397085610200364, 1: 0.16029143897996356}</t>
  </si>
  <si>
    <t xml:space="preserve">base reel 4: stop probabilities sum to 1 (L=528)</t>
  </si>
  <si>
    <t xml:space="preserve">base reel 4: only known symbols</t>
  </si>
  <si>
    <t xml:space="preserve">base reel 4: no SC (SC only on reels 1,3,5)</t>
  </si>
  <si>
    <t xml:space="preserve">base reel 5: stop probabilities sum to 1 (L=530)</t>
  </si>
  <si>
    <t xml:space="preserve">base reel 5: only known symbols</t>
  </si>
  <si>
    <t xml:space="preserve">base reel 5: no WD (WD only on reels 2-4)</t>
  </si>
  <si>
    <t xml:space="preserve">base reel 5: at most one SC per window</t>
  </si>
  <si>
    <t xml:space="preserve">free reel 1: stop probabilities sum to 1 (L=448)</t>
  </si>
  <si>
    <t xml:space="preserve">free reel 1: only known symbols</t>
  </si>
  <si>
    <t xml:space="preserve">[]</t>
  </si>
  <si>
    <t xml:space="preserve">free reel 1: no WD (WD only on reels 2-4)</t>
  </si>
  <si>
    <t xml:space="preserve">free reel 2: stop probabilities sum to 1 (L=472)</t>
  </si>
  <si>
    <t xml:space="preserve">free reel 2: only known symbols</t>
  </si>
  <si>
    <t xml:space="preserve">free reel 2: no SC (SC only on reels 1,3,5)</t>
  </si>
  <si>
    <t xml:space="preserve">free reel 3: stop probabilities sum to 1 (L=472)</t>
  </si>
  <si>
    <t xml:space="preserve">free reel 3: only known symbols</t>
  </si>
  <si>
    <t xml:space="preserve">free reel 4: stop probabilities sum to 1 (L=472)</t>
  </si>
  <si>
    <t xml:space="preserve">free reel 4: only known symbols</t>
  </si>
  <si>
    <t xml:space="preserve">free reel 4: no SC (SC only on reels 1,3,5)</t>
  </si>
  <si>
    <t xml:space="preserve">free reel 5: stop probabilities sum to 1 (L=448)</t>
  </si>
  <si>
    <t xml:space="preserve">free reel 5: only known symbols</t>
  </si>
  <si>
    <t xml:space="preserve">free reel 5: no WD (WD only on reels 2-4)</t>
  </si>
  <si>
    <t xml:space="preserve">buy reel 1: stop probabilities sum to 1 (L=200)</t>
  </si>
  <si>
    <t xml:space="preserve">buy reel 1: only known symbols</t>
  </si>
  <si>
    <t xml:space="preserve">buy reel 1: no WD (WD only on reels 2-4)</t>
  </si>
  <si>
    <t xml:space="preserve">buy reel 1: at most one SC per window</t>
  </si>
  <si>
    <t xml:space="preserve">{1: 1.0}</t>
  </si>
  <si>
    <t xml:space="preserve">buy reel 2: stop probabilities sum to 1 (L=180)</t>
  </si>
  <si>
    <t xml:space="preserve">buy reel 2: only known symbols</t>
  </si>
  <si>
    <t xml:space="preserve">buy reel 2: no SC (SC only on reels 1,3,5)</t>
  </si>
  <si>
    <t xml:space="preserve">buy reel 3: stop probabilities sum to 1 (L=200)</t>
  </si>
  <si>
    <t xml:space="preserve">buy reel 3: only known symbols</t>
  </si>
  <si>
    <t xml:space="preserve">buy reel 3: at most one SC per window</t>
  </si>
  <si>
    <t xml:space="preserve">buy reel 4: stop probabilities sum to 1 (L=180)</t>
  </si>
  <si>
    <t xml:space="preserve">buy reel 4: only known symbols</t>
  </si>
  <si>
    <t xml:space="preserve">buy reel 4: no SC (SC only on reels 1,3,5)</t>
  </si>
  <si>
    <t xml:space="preserve">buy reel 5: stop probabilities sum to 1 (L=200)</t>
  </si>
  <si>
    <t xml:space="preserve">buy reel 5: only known symbols</t>
  </si>
  <si>
    <t xml:space="preserve">buy reel 5: no WD (WD only on reels 2-4)</t>
  </si>
  <si>
    <t xml:space="preserve">buy reel 5: at most one SC per window</t>
  </si>
  <si>
    <t xml:space="preserve">mwon reel 1: stop probabilities sum to 1 (L=66)</t>
  </si>
  <si>
    <t xml:space="preserve">mwon reel 1: only known symbols</t>
  </si>
  <si>
    <t xml:space="preserve">mwon reel 1: no WD (WD only on reels 2-4)</t>
  </si>
  <si>
    <t xml:space="preserve">mwon reel 2: stop probabilities sum to 1 (L=66)</t>
  </si>
  <si>
    <t xml:space="preserve">mwon reel 2: only known symbols</t>
  </si>
  <si>
    <t xml:space="preserve">mwon reel 2: no SC (SC only on reels 1,3,5)</t>
  </si>
  <si>
    <t xml:space="preserve">mwon reel 3: stop probabilities sum to 1 (L=66)</t>
  </si>
  <si>
    <t xml:space="preserve">mwon reel 3: only known symbols</t>
  </si>
  <si>
    <t xml:space="preserve">mwon reel 4: stop probabilities sum to 1 (L=66)</t>
  </si>
  <si>
    <t xml:space="preserve">mwon reel 4: only known symbols</t>
  </si>
  <si>
    <t xml:space="preserve">mwon reel 4: no SC (SC only on reels 1,3,5)</t>
  </si>
  <si>
    <t xml:space="preserve">mwon reel 5: stop probabilities sum to 1 (L=66)</t>
  </si>
  <si>
    <t xml:space="preserve">mwon reel 5: only known symbols</t>
  </si>
  <si>
    <t xml:space="preserve">mwon reel 5: no WD (WD only on reels 2-4)</t>
  </si>
  <si>
    <t xml:space="preserve">free reel 1: no SC (no scatter retrigger in GDD)</t>
  </si>
  <si>
    <t xml:space="preserve">free reel 2: no SC (no scatter retrigger in GDD)</t>
  </si>
  <si>
    <t xml:space="preserve">free reel 3: no SC (no scatter retrigger in GDD)</t>
  </si>
  <si>
    <t xml:space="preserve">free reel 4: no SC (no scatter retrigger in GDD)</t>
  </si>
  <si>
    <t xml:space="preserve">free reel 5: no SC (no scatter retrigger in GDD)</t>
  </si>
  <si>
    <t xml:space="preserve">buy reel 1: every window shows exactly one SC (guaranteed trigger)</t>
  </si>
  <si>
    <t xml:space="preserve">buy reel 3: every window shows exactly one SC (guaranteed trigger)</t>
  </si>
  <si>
    <t xml:space="preserve">buy reel 5: every window shows exactly one SC (guaranteed trigger)</t>
  </si>
  <si>
    <t xml:space="preserve">buy reel 2 symbols disjoint from buy reel 1 (no line win on trigger spin)</t>
  </si>
  <si>
    <t xml:space="preserve">['F2', 'F4', 'M2', 'M4', 'M6']</t>
  </si>
  <si>
    <t xml:space="preserve">buy reels contain no WD</t>
  </si>
  <si>
    <t xml:space="preserve">mwon reel 1: regular symbols only</t>
  </si>
  <si>
    <t xml:space="preserve">mwon reel 2: regular symbols only</t>
  </si>
  <si>
    <t xml:space="preserve">mwon reel 3: regular symbols only</t>
  </si>
  <si>
    <t xml:space="preserve">mwon reel 4: regular symbols only</t>
  </si>
  <si>
    <t xml:space="preserve">mwon reel 5: regular symbols only</t>
  </si>
  <si>
    <t xml:space="preserve">MWoN price 1000x, prize 25000x</t>
  </si>
  <si>
    <t xml:space="preserve">MWoN prize equals game max win</t>
  </si>
  <si>
    <t xml:space="preserve">MWoN win probability in (0,1)</t>
  </si>
  <si>
    <t xml:space="preserve">0.0384</t>
  </si>
  <si>
    <t xml:space="preserve">FS: 8 initial spins, 10x minimum, gold meter 5 keys -&gt; +3 spins</t>
  </si>
  <si>
    <t xml:space="preserve">max single-line pay = top 5OAK x 15 (three 5x keys) &lt; 25,000</t>
  </si>
  <si>
    <t xml:space="preserve">300.0</t>
  </si>
  <si>
    <t xml:space="preserve">Clockwork Heist - PAR sheet (PROVISIONAL, not certified)</t>
  </si>
  <si>
    <t xml:space="preserve">Built on the supplied template ('Wild West Gold PAR'). Sheets 'PAR' and 'PAR Reelsets' keep their names, order and table positions.</t>
  </si>
  <si>
    <t xml:space="preserve">Added sheets: Calc, FS Analysis, Simulation, Assumptions &amp; Gaps, GDD Mapping, Validation, Notes.</t>
  </si>
  <si>
    <t xml:space="preserve">Colour legend</t>
  </si>
  <si>
    <t xml:space="preserve">Blue font = editable input. Yellow shading = PROVISIONAL value (not defined by the GDD).</t>
  </si>
  <si>
    <t xml:space="preserve">Black = Excel formula. Purple = value from math_model.py (exact Markov chain). Green = value from slot_simulator.py.</t>
  </si>
  <si>
    <t xml:space="preserve">Changes to the template sheets</t>
  </si>
  <si>
    <t xml:space="preserve">PAR A3, A8, A11, A16-A24, A30: rule text rewritten for Clockwork Heist (theme names, Gold Meter instead of scatter overlay, 25,000x cap).</t>
  </si>
  <si>
    <t xml:space="preserve">PAR A12, A32: new explanatory lines in previously blank rows.</t>
  </si>
  <si>
    <t xml:space="preserve">PAR A13, A26, A27, A33: RTP sentences are now formulas linked to Calc / Simulation (template had typed numbers).</t>
  </si>
  <si>
    <t xml:space="preserve">PAR J16:J18: multiplier probabilities are now formulas (=weight/sum of weights); template had typed values.</t>
  </si>
  <si>
    <t xml:space="preserve">PAR G15:G26: symbol names added next to table 2.1.</t>
  </si>
  <si>
    <t xml:space="preserve">PAR table 3.1 (H22:J29): was the scatter-overlay distribution (mechanic removed by the GDD); now the Gold Meter inputs.</t>
  </si>
  <si>
    <t xml:space="preserve">PAR A35:E45: new Max Win or Nothing section with table 4.1 (inputs + RTP formulas).</t>
  </si>
  <si>
    <t xml:space="preserve">PAR Reelsets: all strips replaced with Clockwork Heist strips; columns V:AA added for the Max Win or Nothing reels (RSM1-RSM5).</t>
  </si>
  <si>
    <t xml:space="preserve">Reproducibility</t>
  </si>
  <si>
    <t xml:space="preserve">Reel strips: build_reels.py from spec.json (seeds {"base": 20261016, "free": 29, "buy": 20261016, "mwon": 20261016}). Simulations: slot_simulator.py with the seeds on the Simulation sheet.</t>
  </si>
  <si>
    <t xml:space="preserve">Engine validation: the same code reproduces the template's own published base RTP (53.6712% vs 53.67%) and its Bonus Buy RTP within sampling error (95.81% +/-0.72% vs 95.29%).</t>
  </si>
</sst>
</file>

<file path=xl/styles.xml><?xml version="1.0" encoding="utf-8"?>
<styleSheet xmlns="http://schemas.openxmlformats.org/spreadsheetml/2006/main">
  <numFmts count="12">
    <numFmt numFmtId="164" formatCode="General"/>
    <numFmt numFmtId="165" formatCode="0.000%"/>
    <numFmt numFmtId="166" formatCode="#,##0.00"/>
    <numFmt numFmtId="167" formatCode="0.00%"/>
    <numFmt numFmtId="168" formatCode="0.00"/>
    <numFmt numFmtId="169" formatCode="0.0000%"/>
    <numFmt numFmtId="170" formatCode="0.000"/>
    <numFmt numFmtId="171" formatCode="0.0000"/>
    <numFmt numFmtId="172" formatCode="#,##0"/>
    <numFmt numFmtId="173" formatCode="0.0"/>
    <numFmt numFmtId="174" formatCode="0.00000"/>
    <numFmt numFmtId="175" formatCode="0.000000%"/>
  </numFmts>
  <fonts count="14">
    <font>
      <sz val="10"/>
      <color rgb="FF000000"/>
      <name val="Arial"/>
      <family val="0"/>
      <charset val="1"/>
    </font>
    <font>
      <sz val="10"/>
      <name val="Arial"/>
      <family val="0"/>
    </font>
    <font>
      <sz val="10"/>
      <name val="Arial"/>
      <family val="0"/>
    </font>
    <font>
      <sz val="10"/>
      <name val="Arial"/>
      <family val="0"/>
    </font>
    <font>
      <b val="true"/>
      <u val="single"/>
      <sz val="11"/>
      <color theme="1"/>
      <name val="Arial"/>
      <family val="0"/>
      <charset val="1"/>
    </font>
    <font>
      <sz val="11"/>
      <color theme="1"/>
      <name val="Arial"/>
      <family val="0"/>
      <charset val="1"/>
    </font>
    <font>
      <i val="true"/>
      <u val="single"/>
      <sz val="11"/>
      <color theme="1"/>
      <name val="Arial"/>
      <family val="0"/>
      <charset val="1"/>
    </font>
    <font>
      <b val="true"/>
      <sz val="11"/>
      <color theme="1"/>
      <name val="Arial"/>
      <family val="0"/>
      <charset val="1"/>
    </font>
    <font>
      <sz val="11"/>
      <color rgb="FF0000FF"/>
      <name val="Cambria"/>
      <family val="0"/>
      <charset val="1"/>
    </font>
    <font>
      <b val="true"/>
      <sz val="11"/>
      <name val="Cambria"/>
      <family val="0"/>
      <charset val="1"/>
    </font>
    <font>
      <sz val="10"/>
      <name val="Arial"/>
      <family val="2"/>
    </font>
    <font>
      <b val="true"/>
      <sz val="13"/>
      <name val="Cambria"/>
      <family val="0"/>
      <charset val="1"/>
    </font>
    <font>
      <sz val="11"/>
      <color rgb="FF7030A0"/>
      <name val="Cambria"/>
      <family val="0"/>
      <charset val="1"/>
    </font>
    <font>
      <sz val="11"/>
      <color rgb="FF008000"/>
      <name val="Cambria"/>
      <family val="0"/>
      <charset val="1"/>
    </font>
  </fonts>
  <fills count="5">
    <fill>
      <patternFill patternType="none"/>
    </fill>
    <fill>
      <patternFill patternType="gray125"/>
    </fill>
    <fill>
      <patternFill patternType="solid">
        <fgColor rgb="FFFFFF00"/>
        <bgColor rgb="FFFFFF00"/>
      </patternFill>
    </fill>
    <fill>
      <patternFill patternType="solid">
        <fgColor rgb="FFFFF2CC"/>
        <bgColor rgb="FFFFFFFF"/>
      </patternFill>
    </fill>
    <fill>
      <patternFill patternType="solid">
        <fgColor rgb="FFD9E1F2"/>
        <bgColor rgb="FFCCFFFF"/>
      </patternFill>
    </fill>
  </fills>
  <borders count="27">
    <border diagonalUp="false" diagonalDown="false">
      <left/>
      <right/>
      <top/>
      <bottom/>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style="medium"/>
      <right/>
      <top/>
      <bottom/>
      <diagonal/>
    </border>
    <border diagonalUp="false" diagonalDown="false">
      <left/>
      <right style="medium"/>
      <top/>
      <bottom/>
      <diagonal/>
    </border>
    <border diagonalUp="false" diagonalDown="false">
      <left style="medium"/>
      <right style="dotted"/>
      <top style="medium"/>
      <bottom style="dotted"/>
      <diagonal/>
    </border>
    <border diagonalUp="false" diagonalDown="false">
      <left style="dotted"/>
      <right style="dotted"/>
      <top style="medium"/>
      <bottom style="dotted"/>
      <diagonal/>
    </border>
    <border diagonalUp="false" diagonalDown="false">
      <left/>
      <right style="dotted"/>
      <top style="medium"/>
      <bottom style="dotted"/>
      <diagonal/>
    </border>
    <border diagonalUp="false" diagonalDown="false">
      <left style="dotted"/>
      <right style="medium"/>
      <top style="medium"/>
      <bottom style="dotted"/>
      <diagonal/>
    </border>
    <border diagonalUp="false" diagonalDown="false">
      <left style="medium"/>
      <right style="dotted"/>
      <top style="dotted"/>
      <bottom style="dotted"/>
      <diagonal/>
    </border>
    <border diagonalUp="false" diagonalDown="false">
      <left style="dotted"/>
      <right style="dotted"/>
      <top style="dotted"/>
      <bottom style="dotted"/>
      <diagonal/>
    </border>
    <border diagonalUp="false" diagonalDown="false">
      <left/>
      <right style="dotted"/>
      <top style="dotted"/>
      <bottom style="dotted"/>
      <diagonal/>
    </border>
    <border diagonalUp="false" diagonalDown="false">
      <left style="dotted"/>
      <right style="medium"/>
      <top style="dotted"/>
      <bottom style="dotted"/>
      <diagonal/>
    </border>
    <border diagonalUp="false" diagonalDown="false">
      <left style="medium"/>
      <right style="dotted"/>
      <top style="dotted"/>
      <bottom/>
      <diagonal/>
    </border>
    <border diagonalUp="false" diagonalDown="false">
      <left style="dotted"/>
      <right style="dotted"/>
      <top style="dotted"/>
      <bottom/>
      <diagonal/>
    </border>
    <border diagonalUp="false" diagonalDown="false">
      <left/>
      <right style="dotted"/>
      <top style="dotted"/>
      <bottom/>
      <diagonal/>
    </border>
    <border diagonalUp="false" diagonalDown="false">
      <left style="dotted"/>
      <right style="medium"/>
      <top style="dotted"/>
      <bottom/>
      <diagonal/>
    </border>
    <border diagonalUp="false" diagonalDown="false">
      <left style="medium"/>
      <right style="dotted"/>
      <top style="dotted"/>
      <bottom style="medium"/>
      <diagonal/>
    </border>
    <border diagonalUp="false" diagonalDown="false">
      <left style="dotted"/>
      <right style="dotted"/>
      <top style="dotted"/>
      <bottom style="medium"/>
      <diagonal/>
    </border>
    <border diagonalUp="false" diagonalDown="false">
      <left/>
      <right style="dotted"/>
      <top style="dotted"/>
      <bottom style="medium"/>
      <diagonal/>
    </border>
    <border diagonalUp="false" diagonalDown="false">
      <left style="dotted"/>
      <right style="medium"/>
      <top style="dotted"/>
      <bottom style="mediu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2" xfId="0" applyFont="true" applyBorder="true" applyAlignment="true" applyProtection="false">
      <alignment horizontal="center" vertical="bottom" textRotation="0" wrapText="false" indent="0" shrinkToFit="false"/>
      <protection locked="true" hidden="false"/>
    </xf>
    <xf numFmtId="164" fontId="5" fillId="0" borderId="3"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4" fontId="5" fillId="0" borderId="5" xfId="0" applyFont="true" applyBorder="true" applyAlignment="true" applyProtection="false">
      <alignment horizontal="center" vertical="bottom" textRotation="0" wrapText="false" indent="0" shrinkToFit="false"/>
      <protection locked="true" hidden="false"/>
    </xf>
    <xf numFmtId="164" fontId="5" fillId="0" borderId="6"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8" xfId="0" applyFont="true" applyBorder="true" applyAlignment="true" applyProtection="false">
      <alignment horizontal="center" vertical="bottom" textRotation="0" wrapText="false" indent="0" shrinkToFit="false"/>
      <protection locked="true" hidden="false"/>
    </xf>
    <xf numFmtId="164" fontId="5" fillId="0" borderId="9"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true" applyProtection="false">
      <alignment horizontal="center" vertical="bottom" textRotation="0" wrapText="false" indent="0" shrinkToFit="false"/>
      <protection locked="true" hidden="false"/>
    </xf>
    <xf numFmtId="164" fontId="5" fillId="0" borderId="11" xfId="0" applyFont="true" applyBorder="true" applyAlignment="true" applyProtection="false">
      <alignment horizontal="center" vertical="bottom" textRotation="0" wrapText="false" indent="0" shrinkToFit="false"/>
      <protection locked="true" hidden="false"/>
    </xf>
    <xf numFmtId="164" fontId="5" fillId="0" borderId="12" xfId="0" applyFont="true" applyBorder="true" applyAlignment="true" applyProtection="false">
      <alignment horizontal="center" vertical="bottom" textRotation="0" wrapText="false" indent="0" shrinkToFit="false"/>
      <protection locked="true" hidden="false"/>
    </xf>
    <xf numFmtId="164" fontId="5" fillId="0" borderId="13" xfId="0" applyFont="true" applyBorder="true" applyAlignment="true" applyProtection="false">
      <alignment horizontal="center" vertical="bottom" textRotation="0" wrapText="false" indent="0" shrinkToFit="false"/>
      <protection locked="true" hidden="false"/>
    </xf>
    <xf numFmtId="164" fontId="5" fillId="0" borderId="14" xfId="0" applyFont="true" applyBorder="true" applyAlignment="true" applyProtection="false">
      <alignment horizontal="center" vertical="bottom" textRotation="0" wrapText="false" indent="0" shrinkToFit="false"/>
      <protection locked="true" hidden="false"/>
    </xf>
    <xf numFmtId="164" fontId="5" fillId="0" borderId="15" xfId="0" applyFont="true" applyBorder="true" applyAlignment="true" applyProtection="false">
      <alignment horizontal="center" vertical="bottom" textRotation="0" wrapText="false" indent="0" shrinkToFit="false"/>
      <protection locked="true" hidden="false"/>
    </xf>
    <xf numFmtId="164" fontId="5" fillId="0" borderId="16" xfId="0" applyFont="true" applyBorder="true" applyAlignment="true" applyProtection="false">
      <alignment horizontal="center" vertical="bottom" textRotation="0" wrapText="false" indent="0" shrinkToFit="false"/>
      <protection locked="true" hidden="false"/>
    </xf>
    <xf numFmtId="164" fontId="5" fillId="0" borderId="17" xfId="0" applyFont="true" applyBorder="true" applyAlignment="true" applyProtection="false">
      <alignment horizontal="center" vertical="bottom" textRotation="0" wrapText="false" indent="0" shrinkToFit="false"/>
      <protection locked="true" hidden="false"/>
    </xf>
    <xf numFmtId="164" fontId="5" fillId="0" borderId="18" xfId="0" applyFont="true" applyBorder="true" applyAlignment="true" applyProtection="false">
      <alignment horizontal="center" vertical="bottom" textRotation="0" wrapText="false" indent="0" shrinkToFit="false"/>
      <protection locked="true" hidden="false"/>
    </xf>
    <xf numFmtId="164" fontId="5" fillId="0" borderId="19" xfId="0" applyFont="true" applyBorder="true" applyAlignment="true" applyProtection="false">
      <alignment horizontal="center" vertical="bottom" textRotation="0" wrapText="false" indent="0" shrinkToFit="false"/>
      <protection locked="true" hidden="false"/>
    </xf>
    <xf numFmtId="164" fontId="5" fillId="0" borderId="20" xfId="0" applyFont="true" applyBorder="true" applyAlignment="true" applyProtection="false">
      <alignment horizontal="center" vertical="bottom" textRotation="0" wrapText="false" indent="0" shrinkToFit="false"/>
      <protection locked="true" hidden="false"/>
    </xf>
    <xf numFmtId="164" fontId="5" fillId="0" borderId="21" xfId="0" applyFont="true" applyBorder="true" applyAlignment="true" applyProtection="false">
      <alignment horizontal="center" vertical="bottom" textRotation="0" wrapText="false" indent="0" shrinkToFit="false"/>
      <protection locked="true" hidden="false"/>
    </xf>
    <xf numFmtId="164" fontId="5" fillId="0" borderId="22" xfId="0" applyFont="true" applyBorder="true" applyAlignment="true" applyProtection="false">
      <alignment horizontal="center" vertical="bottom" textRotation="0" wrapText="false" indent="0" shrinkToFit="false"/>
      <protection locked="true" hidden="false"/>
    </xf>
    <xf numFmtId="164" fontId="5" fillId="0" borderId="23" xfId="0" applyFont="true" applyBorder="true" applyAlignment="true" applyProtection="false">
      <alignment horizontal="center" vertical="bottom" textRotation="0" wrapText="false" indent="0" shrinkToFit="false"/>
      <protection locked="true" hidden="false"/>
    </xf>
    <xf numFmtId="164" fontId="5" fillId="0" borderId="3" xfId="0" applyFont="true" applyBorder="tru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right" vertical="bottom" textRotation="0" wrapText="false" indent="0" shrinkToFit="false"/>
      <protection locked="true" hidden="false"/>
    </xf>
    <xf numFmtId="164" fontId="8" fillId="3" borderId="4" xfId="0" applyFont="true" applyBorder="tru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22" xfId="0" applyFont="true" applyBorder="tru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0" borderId="24" xfId="0" applyFont="true" applyBorder="true" applyAlignment="true" applyProtection="false">
      <alignment horizontal="center" vertical="bottom" textRotation="0" wrapText="false" indent="0" shrinkToFit="false"/>
      <protection locked="true" hidden="false"/>
    </xf>
    <xf numFmtId="164" fontId="5" fillId="0" borderId="25" xfId="0" applyFont="true" applyBorder="true" applyAlignment="true" applyProtection="false">
      <alignment horizontal="center" vertical="bottom" textRotation="0" wrapText="false" indent="0" shrinkToFit="false"/>
      <protection locked="true" hidden="false"/>
    </xf>
    <xf numFmtId="164" fontId="5" fillId="0" borderId="26" xfId="0" applyFont="true" applyBorder="true" applyAlignment="true" applyProtection="false">
      <alignment horizontal="center" vertical="bottom" textRotation="0" wrapText="false" indent="0" shrinkToFit="false"/>
      <protection locked="true" hidden="false"/>
    </xf>
    <xf numFmtId="164" fontId="5" fillId="0" borderId="21" xfId="0" applyFont="true" applyBorder="true" applyAlignment="true" applyProtection="false">
      <alignment horizontal="general" vertical="bottom" textRotation="0" wrapText="false" indent="0" shrinkToFit="false"/>
      <protection locked="true" hidden="false"/>
    </xf>
    <xf numFmtId="164" fontId="8" fillId="3" borderId="22" xfId="0" applyFont="true" applyBorder="true" applyAlignment="true" applyProtection="false">
      <alignment horizontal="right" vertical="bottom" textRotation="0" wrapText="false" indent="0" shrinkToFit="false"/>
      <protection locked="true" hidden="false"/>
    </xf>
    <xf numFmtId="164" fontId="8" fillId="3" borderId="23" xfId="0" applyFont="true" applyBorder="tru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8" fillId="3" borderId="22" xfId="0" applyFont="true" applyBorder="true" applyAlignment="true" applyProtection="false">
      <alignment horizontal="center"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8" fillId="3"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7" fillId="2" borderId="22" xfId="0" applyFont="true" applyBorder="true" applyAlignment="true" applyProtection="false">
      <alignment horizontal="general" vertical="bottom" textRotation="0" wrapText="false" indent="0" shrinkToFit="false"/>
      <protection locked="true" hidden="false"/>
    </xf>
    <xf numFmtId="164" fontId="7" fillId="0" borderId="22" xfId="0" applyFont="true" applyBorder="true" applyAlignment="true" applyProtection="false">
      <alignment horizontal="general" vertical="bottom" textRotation="0" wrapText="false" indent="0" shrinkToFit="false"/>
      <protection locked="true" hidden="false"/>
    </xf>
    <xf numFmtId="164" fontId="5" fillId="0" borderId="2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213.5"/>
  </cols>
  <sheetData>
    <row r="1" customFormat="false" ht="15.75" hidden="false" customHeight="false" outlineLevel="0" collapsed="false">
      <c r="A1" s="1" t="s">
        <v>0</v>
      </c>
      <c r="B1" s="2"/>
      <c r="C1" s="2"/>
      <c r="D1" s="2"/>
      <c r="E1" s="2"/>
      <c r="F1" s="2"/>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3" t="s">
        <v>1</v>
      </c>
      <c r="B2" s="2"/>
      <c r="C2" s="2"/>
      <c r="D2" s="4" t="n">
        <v>1.1</v>
      </c>
      <c r="E2" s="4"/>
      <c r="F2" s="4"/>
      <c r="G2" s="4"/>
      <c r="H2" s="4"/>
      <c r="I2" s="2"/>
      <c r="J2" s="4" t="n">
        <v>1.11</v>
      </c>
      <c r="K2" s="4"/>
      <c r="L2" s="4"/>
      <c r="M2" s="4"/>
      <c r="N2" s="2"/>
      <c r="O2" s="2"/>
      <c r="P2" s="2"/>
      <c r="Q2" s="2"/>
      <c r="R2" s="2"/>
      <c r="S2" s="2"/>
      <c r="T2" s="2"/>
      <c r="U2" s="2"/>
      <c r="V2" s="2"/>
      <c r="W2" s="2"/>
      <c r="X2" s="2"/>
      <c r="Y2" s="2"/>
      <c r="Z2" s="2"/>
    </row>
    <row r="3" customFormat="false" ht="15.75" hidden="false" customHeight="false" outlineLevel="0" collapsed="false">
      <c r="A3" s="2" t="s">
        <v>2</v>
      </c>
      <c r="B3" s="2"/>
      <c r="C3" s="2"/>
      <c r="D3" s="5" t="n">
        <v>1</v>
      </c>
      <c r="E3" s="5" t="n">
        <v>2</v>
      </c>
      <c r="F3" s="6" t="n">
        <v>3</v>
      </c>
      <c r="G3" s="5" t="n">
        <v>4</v>
      </c>
      <c r="H3" s="5" t="n">
        <v>5</v>
      </c>
      <c r="I3" s="2"/>
      <c r="J3" s="7" t="s">
        <v>3</v>
      </c>
      <c r="K3" s="8" t="s">
        <v>4</v>
      </c>
      <c r="L3" s="8" t="s">
        <v>5</v>
      </c>
      <c r="M3" s="9" t="s">
        <v>6</v>
      </c>
      <c r="N3" s="2"/>
      <c r="O3" s="2"/>
      <c r="P3" s="2"/>
      <c r="Q3" s="2"/>
      <c r="R3" s="2"/>
      <c r="S3" s="2"/>
      <c r="T3" s="2"/>
      <c r="U3" s="2"/>
      <c r="V3" s="2"/>
      <c r="W3" s="2"/>
      <c r="X3" s="2"/>
      <c r="Y3" s="2"/>
      <c r="Z3" s="2"/>
    </row>
    <row r="4" customFormat="false" ht="15.75" hidden="false" customHeight="false" outlineLevel="0" collapsed="false">
      <c r="A4" s="2" t="s">
        <v>7</v>
      </c>
      <c r="B4" s="2"/>
      <c r="C4" s="2"/>
      <c r="D4" s="10" t="s">
        <v>8</v>
      </c>
      <c r="E4" s="11" t="s">
        <v>8</v>
      </c>
      <c r="F4" s="11" t="s">
        <v>8</v>
      </c>
      <c r="G4" s="12" t="s">
        <v>8</v>
      </c>
      <c r="H4" s="13" t="s">
        <v>8</v>
      </c>
      <c r="I4" s="2"/>
      <c r="J4" s="7" t="s">
        <v>9</v>
      </c>
      <c r="K4" s="8" t="s">
        <v>10</v>
      </c>
      <c r="L4" s="8" t="s">
        <v>11</v>
      </c>
      <c r="M4" s="9" t="s">
        <v>12</v>
      </c>
      <c r="N4" s="2"/>
      <c r="O4" s="2"/>
      <c r="P4" s="2"/>
      <c r="Q4" s="2"/>
      <c r="R4" s="2"/>
      <c r="S4" s="2"/>
      <c r="T4" s="2"/>
      <c r="U4" s="2"/>
      <c r="V4" s="2"/>
      <c r="W4" s="2"/>
      <c r="X4" s="2"/>
      <c r="Y4" s="2"/>
      <c r="Z4" s="2"/>
    </row>
    <row r="5" customFormat="false" ht="15.75" hidden="false" customHeight="false" outlineLevel="0" collapsed="false">
      <c r="A5" s="2" t="s">
        <v>13</v>
      </c>
      <c r="B5" s="2"/>
      <c r="C5" s="2"/>
      <c r="D5" s="14" t="s">
        <v>8</v>
      </c>
      <c r="E5" s="15" t="s">
        <v>8</v>
      </c>
      <c r="F5" s="15" t="s">
        <v>8</v>
      </c>
      <c r="G5" s="16" t="s">
        <v>8</v>
      </c>
      <c r="H5" s="17" t="s">
        <v>8</v>
      </c>
      <c r="I5" s="2"/>
      <c r="J5" s="7" t="s">
        <v>14</v>
      </c>
      <c r="K5" s="8" t="s">
        <v>15</v>
      </c>
      <c r="L5" s="8" t="s">
        <v>16</v>
      </c>
      <c r="M5" s="9" t="s">
        <v>17</v>
      </c>
      <c r="N5" s="2"/>
      <c r="O5" s="2"/>
      <c r="P5" s="2"/>
      <c r="Q5" s="2"/>
      <c r="R5" s="2"/>
      <c r="S5" s="2"/>
      <c r="T5" s="2"/>
      <c r="U5" s="2"/>
      <c r="V5" s="2"/>
      <c r="W5" s="2"/>
      <c r="X5" s="2"/>
      <c r="Y5" s="2"/>
      <c r="Z5" s="2"/>
    </row>
    <row r="6" customFormat="false" ht="15.75" hidden="false" customHeight="false" outlineLevel="0" collapsed="false">
      <c r="A6" s="2" t="s">
        <v>18</v>
      </c>
      <c r="B6" s="2"/>
      <c r="C6" s="2"/>
      <c r="D6" s="18" t="s">
        <v>8</v>
      </c>
      <c r="E6" s="19" t="s">
        <v>8</v>
      </c>
      <c r="F6" s="19" t="s">
        <v>8</v>
      </c>
      <c r="G6" s="20" t="s">
        <v>8</v>
      </c>
      <c r="H6" s="21" t="s">
        <v>8</v>
      </c>
      <c r="I6" s="2"/>
      <c r="J6" s="7" t="s">
        <v>19</v>
      </c>
      <c r="K6" s="8" t="s">
        <v>20</v>
      </c>
      <c r="L6" s="8" t="s">
        <v>21</v>
      </c>
      <c r="M6" s="9" t="s">
        <v>22</v>
      </c>
      <c r="N6" s="2"/>
      <c r="O6" s="2"/>
      <c r="P6" s="2"/>
      <c r="Q6" s="2"/>
      <c r="R6" s="2"/>
      <c r="S6" s="2"/>
      <c r="T6" s="2"/>
      <c r="U6" s="2"/>
      <c r="V6" s="2"/>
      <c r="W6" s="2"/>
      <c r="X6" s="2"/>
      <c r="Y6" s="2"/>
      <c r="Z6" s="2"/>
    </row>
    <row r="7" customFormat="false" ht="15.75" hidden="false" customHeight="false" outlineLevel="0" collapsed="false">
      <c r="A7" s="2" t="s">
        <v>23</v>
      </c>
      <c r="B7" s="2"/>
      <c r="C7" s="2"/>
      <c r="D7" s="22" t="s">
        <v>8</v>
      </c>
      <c r="E7" s="23" t="s">
        <v>8</v>
      </c>
      <c r="F7" s="23" t="s">
        <v>8</v>
      </c>
      <c r="G7" s="24" t="s">
        <v>8</v>
      </c>
      <c r="H7" s="25" t="s">
        <v>8</v>
      </c>
      <c r="I7" s="2"/>
      <c r="J7" s="7" t="s">
        <v>24</v>
      </c>
      <c r="K7" s="8" t="s">
        <v>25</v>
      </c>
      <c r="L7" s="8" t="s">
        <v>26</v>
      </c>
      <c r="M7" s="9" t="s">
        <v>27</v>
      </c>
      <c r="N7" s="2"/>
      <c r="O7" s="2"/>
      <c r="P7" s="2"/>
      <c r="Q7" s="2"/>
      <c r="R7" s="2"/>
      <c r="S7" s="2"/>
      <c r="T7" s="2"/>
      <c r="U7" s="2"/>
      <c r="V7" s="2"/>
      <c r="W7" s="2"/>
      <c r="X7" s="2"/>
      <c r="Y7" s="2"/>
      <c r="Z7" s="2"/>
    </row>
    <row r="8" customFormat="false" ht="15.75" hidden="false" customHeight="false" outlineLevel="0" collapsed="false">
      <c r="A8" s="2" t="s">
        <v>28</v>
      </c>
      <c r="B8" s="2"/>
      <c r="C8" s="2"/>
      <c r="D8" s="2"/>
      <c r="E8" s="2"/>
      <c r="F8" s="2"/>
      <c r="G8" s="2"/>
      <c r="H8" s="2"/>
      <c r="I8" s="2"/>
      <c r="J8" s="7" t="s">
        <v>29</v>
      </c>
      <c r="K8" s="8" t="s">
        <v>30</v>
      </c>
      <c r="L8" s="8" t="s">
        <v>31</v>
      </c>
      <c r="M8" s="9" t="s">
        <v>32</v>
      </c>
      <c r="N8" s="2"/>
      <c r="O8" s="2"/>
      <c r="P8" s="2"/>
      <c r="Q8" s="2"/>
      <c r="R8" s="2"/>
      <c r="S8" s="2"/>
      <c r="T8" s="2"/>
      <c r="U8" s="2"/>
      <c r="V8" s="2"/>
      <c r="W8" s="2"/>
      <c r="X8" s="2"/>
      <c r="Y8" s="2"/>
      <c r="Z8" s="2"/>
    </row>
    <row r="9" customFormat="false" ht="15.75" hidden="false" customHeight="false" outlineLevel="0" collapsed="false">
      <c r="A9" s="2" t="s">
        <v>33</v>
      </c>
      <c r="B9" s="2"/>
      <c r="C9" s="2"/>
      <c r="D9" s="2"/>
      <c r="E9" s="2"/>
      <c r="F9" s="2"/>
      <c r="G9" s="2"/>
      <c r="H9" s="2"/>
      <c r="I9" s="2"/>
      <c r="J9" s="7" t="s">
        <v>34</v>
      </c>
      <c r="K9" s="8" t="s">
        <v>35</v>
      </c>
      <c r="L9" s="8" t="s">
        <v>36</v>
      </c>
      <c r="M9" s="9" t="s">
        <v>37</v>
      </c>
      <c r="N9" s="2"/>
      <c r="O9" s="2"/>
      <c r="P9" s="2"/>
      <c r="Q9" s="2"/>
      <c r="R9" s="2"/>
      <c r="S9" s="2"/>
      <c r="T9" s="2"/>
      <c r="U9" s="2"/>
      <c r="V9" s="2"/>
      <c r="W9" s="2"/>
      <c r="X9" s="2"/>
      <c r="Y9" s="2"/>
      <c r="Z9" s="2"/>
    </row>
    <row r="10" customFormat="false" ht="15.75" hidden="false" customHeight="false" outlineLevel="0" collapsed="false">
      <c r="A10" s="2" t="s">
        <v>38</v>
      </c>
      <c r="B10" s="2"/>
      <c r="C10" s="2"/>
      <c r="D10" s="2"/>
      <c r="E10" s="2"/>
      <c r="F10" s="2"/>
      <c r="G10" s="2"/>
      <c r="H10" s="2"/>
      <c r="I10" s="2"/>
      <c r="J10" s="7" t="s">
        <v>39</v>
      </c>
      <c r="K10" s="8" t="s">
        <v>40</v>
      </c>
      <c r="L10" s="8" t="s">
        <v>41</v>
      </c>
      <c r="M10" s="9" t="s">
        <v>42</v>
      </c>
      <c r="N10" s="2"/>
      <c r="O10" s="2"/>
      <c r="P10" s="2"/>
      <c r="Q10" s="2"/>
      <c r="R10" s="2"/>
      <c r="S10" s="2"/>
      <c r="T10" s="2"/>
      <c r="U10" s="2"/>
      <c r="V10" s="2"/>
      <c r="W10" s="2"/>
      <c r="X10" s="2"/>
      <c r="Y10" s="2"/>
      <c r="Z10" s="2"/>
    </row>
    <row r="11" customFormat="false" ht="15.75" hidden="false" customHeight="false" outlineLevel="0" collapsed="false">
      <c r="A11" s="2" t="s">
        <v>43</v>
      </c>
      <c r="B11" s="2"/>
      <c r="C11" s="2"/>
      <c r="D11" s="2"/>
      <c r="E11" s="2"/>
      <c r="F11" s="2"/>
      <c r="G11" s="2"/>
      <c r="H11" s="2"/>
      <c r="I11" s="2"/>
      <c r="J11" s="7" t="s">
        <v>44</v>
      </c>
      <c r="K11" s="8" t="s">
        <v>45</v>
      </c>
      <c r="L11" s="8" t="s">
        <v>46</v>
      </c>
      <c r="M11" s="9" t="s">
        <v>47</v>
      </c>
      <c r="N11" s="2"/>
      <c r="O11" s="2"/>
      <c r="P11" s="2"/>
      <c r="Q11" s="2"/>
      <c r="R11" s="2"/>
      <c r="S11" s="2"/>
      <c r="T11" s="2"/>
      <c r="U11" s="2"/>
      <c r="V11" s="2"/>
      <c r="W11" s="2"/>
      <c r="X11" s="2"/>
      <c r="Y11" s="2"/>
      <c r="Z11" s="2"/>
    </row>
    <row r="12" customFormat="false" ht="15.75" hidden="false" customHeight="false" outlineLevel="0" collapsed="false">
      <c r="A12" s="2" t="s">
        <v>48</v>
      </c>
      <c r="B12" s="2"/>
      <c r="C12" s="2"/>
      <c r="D12" s="2"/>
      <c r="E12" s="2"/>
      <c r="F12" s="2"/>
      <c r="G12" s="2"/>
      <c r="H12" s="2"/>
      <c r="I12" s="2"/>
      <c r="J12" s="26" t="s">
        <v>49</v>
      </c>
      <c r="K12" s="27" t="s">
        <v>50</v>
      </c>
      <c r="L12" s="27" t="s">
        <v>51</v>
      </c>
      <c r="M12" s="28" t="s">
        <v>52</v>
      </c>
      <c r="N12" s="2"/>
      <c r="O12" s="2"/>
      <c r="P12" s="2"/>
      <c r="Q12" s="2"/>
      <c r="R12" s="2"/>
      <c r="S12" s="2"/>
      <c r="T12" s="2"/>
      <c r="U12" s="2"/>
      <c r="V12" s="2"/>
      <c r="W12" s="2"/>
      <c r="X12" s="2"/>
      <c r="Y12" s="2"/>
      <c r="Z12" s="2"/>
    </row>
    <row r="13" customFormat="false" ht="15.75" hidden="false" customHeight="false" outlineLevel="0" collapsed="false">
      <c r="A13" s="2" t="str">
        <f aca="false">"The RTP of the base game (line wins) is "&amp;TEXT(Calc!C82,"0.00%")</f>
        <v>The RTP of the base game (line wins) is 53.57%</v>
      </c>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75" hidden="false" customHeight="false" outlineLevel="0" collapsed="false">
      <c r="A14" s="2"/>
      <c r="B14" s="2"/>
      <c r="C14" s="4" t="n">
        <v>2.1</v>
      </c>
      <c r="D14" s="4"/>
      <c r="E14" s="4"/>
      <c r="F14" s="4"/>
      <c r="G14" s="2"/>
      <c r="H14" s="4" t="n">
        <v>2.2</v>
      </c>
      <c r="I14" s="4"/>
      <c r="J14" s="4"/>
      <c r="K14" s="2"/>
      <c r="L14" s="2"/>
      <c r="M14" s="2"/>
      <c r="N14" s="2"/>
      <c r="O14" s="2"/>
      <c r="P14" s="2"/>
      <c r="Q14" s="2"/>
      <c r="R14" s="2"/>
      <c r="S14" s="2"/>
      <c r="T14" s="2"/>
      <c r="U14" s="2"/>
      <c r="V14" s="2"/>
      <c r="W14" s="2"/>
      <c r="X14" s="2"/>
      <c r="Y14" s="2"/>
      <c r="Z14" s="2"/>
    </row>
    <row r="15" customFormat="false" ht="15.75" hidden="false" customHeight="false" outlineLevel="0" collapsed="false">
      <c r="A15" s="1" t="s">
        <v>53</v>
      </c>
      <c r="B15" s="2"/>
      <c r="C15" s="29" t="s">
        <v>54</v>
      </c>
      <c r="D15" s="2" t="s">
        <v>55</v>
      </c>
      <c r="E15" s="2" t="s">
        <v>56</v>
      </c>
      <c r="F15" s="30" t="s">
        <v>57</v>
      </c>
      <c r="G15" s="2" t="s">
        <v>58</v>
      </c>
      <c r="H15" s="7" t="s">
        <v>59</v>
      </c>
      <c r="I15" s="8" t="s">
        <v>60</v>
      </c>
      <c r="J15" s="9" t="s">
        <v>61</v>
      </c>
      <c r="K15" s="2"/>
      <c r="L15" s="2"/>
      <c r="M15" s="2"/>
      <c r="N15" s="2"/>
      <c r="O15" s="2"/>
      <c r="P15" s="2"/>
      <c r="Q15" s="2"/>
      <c r="R15" s="2"/>
      <c r="S15" s="2"/>
      <c r="T15" s="2"/>
      <c r="U15" s="2"/>
      <c r="V15" s="2"/>
      <c r="W15" s="2"/>
      <c r="X15" s="2"/>
      <c r="Y15" s="2"/>
      <c r="Z15" s="2"/>
    </row>
    <row r="16" customFormat="false" ht="15.75" hidden="false" customHeight="false" outlineLevel="0" collapsed="false">
      <c r="A16" s="2" t="s">
        <v>62</v>
      </c>
      <c r="B16" s="2"/>
      <c r="C16" s="29" t="s">
        <v>63</v>
      </c>
      <c r="D16" s="31" t="n">
        <v>20</v>
      </c>
      <c r="E16" s="31" t="n">
        <v>5</v>
      </c>
      <c r="F16" s="32" t="n">
        <v>1.5</v>
      </c>
      <c r="G16" s="2" t="s">
        <v>64</v>
      </c>
      <c r="H16" s="7" t="n">
        <v>2</v>
      </c>
      <c r="I16" s="33" t="n">
        <v>6</v>
      </c>
      <c r="J16" s="9" t="n">
        <f aca="false">I16/SUM($I$16:$I$18)</f>
        <v>0.6</v>
      </c>
      <c r="K16" s="2"/>
      <c r="L16" s="2"/>
      <c r="M16" s="2"/>
      <c r="N16" s="2"/>
      <c r="O16" s="2"/>
      <c r="P16" s="2"/>
      <c r="Q16" s="2"/>
      <c r="R16" s="2"/>
      <c r="S16" s="2"/>
      <c r="T16" s="2"/>
      <c r="U16" s="2"/>
      <c r="V16" s="2"/>
      <c r="W16" s="2"/>
      <c r="X16" s="2"/>
      <c r="Y16" s="2"/>
      <c r="Z16" s="2"/>
    </row>
    <row r="17" customFormat="false" ht="15.75" hidden="false" customHeight="false" outlineLevel="0" collapsed="false">
      <c r="A17" s="2" t="s">
        <v>65</v>
      </c>
      <c r="B17" s="2"/>
      <c r="C17" s="29" t="s">
        <v>66</v>
      </c>
      <c r="D17" s="31" t="n">
        <v>12.5</v>
      </c>
      <c r="E17" s="31" t="n">
        <v>3.75</v>
      </c>
      <c r="F17" s="32" t="n">
        <v>1.25</v>
      </c>
      <c r="G17" s="2" t="s">
        <v>67</v>
      </c>
      <c r="H17" s="7" t="n">
        <v>3</v>
      </c>
      <c r="I17" s="33" t="n">
        <v>3</v>
      </c>
      <c r="J17" s="9" t="n">
        <f aca="false">I17/SUM($I$16:$I$18)</f>
        <v>0.3</v>
      </c>
      <c r="K17" s="2"/>
      <c r="L17" s="2"/>
      <c r="M17" s="2"/>
      <c r="N17" s="2"/>
      <c r="O17" s="2"/>
      <c r="P17" s="2"/>
      <c r="Q17" s="2"/>
      <c r="R17" s="2"/>
      <c r="S17" s="2"/>
      <c r="T17" s="2"/>
      <c r="U17" s="2"/>
      <c r="V17" s="2"/>
      <c r="W17" s="2"/>
      <c r="X17" s="2"/>
      <c r="Y17" s="2"/>
      <c r="Z17" s="2"/>
    </row>
    <row r="18" customFormat="false" ht="15.75" hidden="false" customHeight="false" outlineLevel="0" collapsed="false">
      <c r="A18" s="2" t="s">
        <v>68</v>
      </c>
      <c r="B18" s="2"/>
      <c r="C18" s="29" t="s">
        <v>69</v>
      </c>
      <c r="D18" s="31" t="n">
        <v>7.5</v>
      </c>
      <c r="E18" s="31" t="n">
        <v>2</v>
      </c>
      <c r="F18" s="32" t="n">
        <v>0.75</v>
      </c>
      <c r="G18" s="2" t="s">
        <v>70</v>
      </c>
      <c r="H18" s="26" t="n">
        <v>5</v>
      </c>
      <c r="I18" s="34" t="n">
        <v>1</v>
      </c>
      <c r="J18" s="28" t="n">
        <f aca="false">I18/SUM($I$16:$I$18)</f>
        <v>0.1</v>
      </c>
      <c r="K18" s="2"/>
      <c r="L18" s="2"/>
      <c r="M18" s="2"/>
      <c r="N18" s="2"/>
      <c r="O18" s="2"/>
      <c r="P18" s="2"/>
      <c r="Q18" s="2"/>
      <c r="R18" s="2"/>
      <c r="S18" s="2"/>
      <c r="T18" s="2"/>
      <c r="U18" s="2"/>
      <c r="V18" s="2"/>
      <c r="W18" s="2"/>
      <c r="X18" s="2"/>
      <c r="Y18" s="2"/>
      <c r="Z18" s="2"/>
    </row>
    <row r="19" customFormat="false" ht="15.75" hidden="false" customHeight="false" outlineLevel="0" collapsed="false">
      <c r="A19" s="2" t="s">
        <v>71</v>
      </c>
      <c r="B19" s="2"/>
      <c r="C19" s="29" t="s">
        <v>72</v>
      </c>
      <c r="D19" s="31" t="n">
        <v>5</v>
      </c>
      <c r="E19" s="31" t="n">
        <v>1.25</v>
      </c>
      <c r="F19" s="32" t="n">
        <v>0.5</v>
      </c>
      <c r="G19" s="2" t="s">
        <v>73</v>
      </c>
      <c r="H19" s="35"/>
      <c r="I19" s="2"/>
      <c r="J19" s="2"/>
      <c r="K19" s="2"/>
      <c r="L19" s="2"/>
      <c r="M19" s="2"/>
      <c r="N19" s="2"/>
      <c r="O19" s="2"/>
      <c r="P19" s="2"/>
      <c r="Q19" s="2"/>
      <c r="R19" s="2"/>
      <c r="S19" s="2"/>
      <c r="T19" s="2"/>
      <c r="U19" s="2"/>
      <c r="V19" s="2"/>
      <c r="W19" s="2"/>
      <c r="X19" s="2"/>
      <c r="Y19" s="2"/>
      <c r="Z19" s="2"/>
    </row>
    <row r="20" customFormat="false" ht="15.75" hidden="false" customHeight="false" outlineLevel="0" collapsed="false">
      <c r="A20" s="2" t="s">
        <v>74</v>
      </c>
      <c r="B20" s="2"/>
      <c r="C20" s="29" t="s">
        <v>75</v>
      </c>
      <c r="D20" s="31" t="n">
        <v>3.75</v>
      </c>
      <c r="E20" s="31" t="n">
        <v>0.75</v>
      </c>
      <c r="F20" s="32" t="n">
        <v>0.35</v>
      </c>
      <c r="G20" s="2" t="s">
        <v>76</v>
      </c>
      <c r="H20" s="35"/>
      <c r="I20" s="2"/>
      <c r="J20" s="2"/>
      <c r="K20" s="2"/>
      <c r="L20" s="2"/>
      <c r="M20" s="2"/>
      <c r="N20" s="2"/>
      <c r="O20" s="2"/>
      <c r="P20" s="2"/>
      <c r="Q20" s="2"/>
      <c r="R20" s="2"/>
      <c r="S20" s="2"/>
      <c r="T20" s="2"/>
      <c r="U20" s="2"/>
      <c r="V20" s="2"/>
      <c r="W20" s="2"/>
      <c r="X20" s="2"/>
      <c r="Y20" s="2"/>
      <c r="Z20" s="2"/>
    </row>
    <row r="21" customFormat="false" ht="15.75" hidden="false" customHeight="false" outlineLevel="0" collapsed="false">
      <c r="A21" s="2" t="s">
        <v>77</v>
      </c>
      <c r="B21" s="2"/>
      <c r="C21" s="29" t="s">
        <v>78</v>
      </c>
      <c r="D21" s="31" t="n">
        <v>2.5</v>
      </c>
      <c r="E21" s="31" t="n">
        <v>0.5</v>
      </c>
      <c r="F21" s="32" t="n">
        <v>0.25</v>
      </c>
      <c r="G21" s="2" t="s">
        <v>79</v>
      </c>
      <c r="H21" s="35"/>
      <c r="I21" s="2"/>
      <c r="J21" s="2"/>
      <c r="K21" s="2"/>
      <c r="L21" s="2"/>
      <c r="M21" s="2"/>
      <c r="N21" s="2"/>
      <c r="O21" s="2"/>
      <c r="P21" s="2"/>
      <c r="Q21" s="2"/>
      <c r="R21" s="2"/>
      <c r="S21" s="2"/>
      <c r="T21" s="2"/>
      <c r="U21" s="2"/>
      <c r="V21" s="2"/>
      <c r="W21" s="2"/>
      <c r="X21" s="2"/>
      <c r="Y21" s="2"/>
      <c r="Z21" s="2"/>
    </row>
    <row r="22" customFormat="false" ht="15.75" hidden="false" customHeight="false" outlineLevel="0" collapsed="false">
      <c r="A22" s="2" t="s">
        <v>80</v>
      </c>
      <c r="B22" s="2"/>
      <c r="C22" s="29" t="s">
        <v>81</v>
      </c>
      <c r="D22" s="31" t="n">
        <v>1.5</v>
      </c>
      <c r="E22" s="31" t="n">
        <v>0.3</v>
      </c>
      <c r="F22" s="32" t="n">
        <v>0.15</v>
      </c>
      <c r="G22" s="2" t="s">
        <v>82</v>
      </c>
      <c r="H22" s="4" t="n">
        <v>3.1</v>
      </c>
      <c r="I22" s="4"/>
      <c r="J22" s="4"/>
      <c r="K22" s="2"/>
      <c r="L22" s="2"/>
      <c r="M22" s="2"/>
      <c r="N22" s="2"/>
      <c r="O22" s="2"/>
      <c r="P22" s="2"/>
      <c r="Q22" s="2"/>
      <c r="R22" s="2"/>
      <c r="S22" s="2"/>
      <c r="T22" s="2"/>
      <c r="U22" s="2"/>
      <c r="V22" s="2"/>
      <c r="W22" s="2"/>
      <c r="X22" s="2"/>
      <c r="Y22" s="2"/>
      <c r="Z22" s="2"/>
    </row>
    <row r="23" customFormat="false" ht="15.75" hidden="false" customHeight="false" outlineLevel="0" collapsed="false">
      <c r="A23" s="2"/>
      <c r="B23" s="2"/>
      <c r="C23" s="29" t="s">
        <v>83</v>
      </c>
      <c r="D23" s="31" t="n">
        <v>1.5</v>
      </c>
      <c r="E23" s="31" t="n">
        <v>0.3</v>
      </c>
      <c r="F23" s="32" t="n">
        <v>0.15</v>
      </c>
      <c r="G23" s="2" t="s">
        <v>84</v>
      </c>
      <c r="H23" s="36" t="s">
        <v>85</v>
      </c>
      <c r="I23" s="37" t="s">
        <v>86</v>
      </c>
      <c r="J23" s="38" t="s">
        <v>87</v>
      </c>
      <c r="K23" s="2"/>
      <c r="L23" s="2"/>
      <c r="M23" s="2"/>
      <c r="N23" s="2"/>
      <c r="O23" s="2"/>
      <c r="P23" s="2"/>
      <c r="Q23" s="2"/>
      <c r="R23" s="2"/>
      <c r="S23" s="2"/>
      <c r="T23" s="2"/>
      <c r="U23" s="2"/>
      <c r="V23" s="2"/>
      <c r="W23" s="2"/>
      <c r="X23" s="2"/>
      <c r="Y23" s="2"/>
      <c r="Z23" s="2"/>
    </row>
    <row r="24" customFormat="false" ht="15.75" hidden="false" customHeight="false" outlineLevel="0" collapsed="false">
      <c r="A24" s="2" t="s">
        <v>88</v>
      </c>
      <c r="B24" s="2"/>
      <c r="C24" s="29" t="s">
        <v>89</v>
      </c>
      <c r="D24" s="31" t="n">
        <v>1</v>
      </c>
      <c r="E24" s="31" t="n">
        <v>0.25</v>
      </c>
      <c r="F24" s="32" t="n">
        <v>0.1</v>
      </c>
      <c r="G24" s="2" t="s">
        <v>90</v>
      </c>
      <c r="H24" s="7" t="s">
        <v>91</v>
      </c>
      <c r="I24" s="33" t="n">
        <v>5</v>
      </c>
      <c r="J24" s="9" t="s">
        <v>92</v>
      </c>
      <c r="K24" s="2"/>
      <c r="L24" s="2"/>
      <c r="M24" s="2"/>
      <c r="N24" s="2"/>
      <c r="O24" s="2"/>
      <c r="P24" s="2"/>
      <c r="Q24" s="2"/>
      <c r="R24" s="2"/>
      <c r="S24" s="2"/>
      <c r="T24" s="2"/>
      <c r="U24" s="2"/>
      <c r="V24" s="2"/>
      <c r="W24" s="2"/>
      <c r="X24" s="2"/>
      <c r="Y24" s="2"/>
      <c r="Z24" s="2"/>
    </row>
    <row r="25" customFormat="false" ht="15.75" hidden="false" customHeight="false" outlineLevel="0" collapsed="false">
      <c r="A25" s="2"/>
      <c r="B25" s="2"/>
      <c r="C25" s="29" t="s">
        <v>93</v>
      </c>
      <c r="D25" s="31" t="n">
        <v>1</v>
      </c>
      <c r="E25" s="31" t="n">
        <v>0.25</v>
      </c>
      <c r="F25" s="32" t="n">
        <v>0.1</v>
      </c>
      <c r="G25" s="2" t="s">
        <v>94</v>
      </c>
      <c r="H25" s="7" t="s">
        <v>95</v>
      </c>
      <c r="I25" s="33" t="n">
        <v>3</v>
      </c>
      <c r="J25" s="9" t="s">
        <v>92</v>
      </c>
      <c r="K25" s="2"/>
      <c r="L25" s="2"/>
      <c r="M25" s="2"/>
      <c r="N25" s="2"/>
      <c r="O25" s="2"/>
      <c r="P25" s="2"/>
      <c r="Q25" s="2"/>
      <c r="R25" s="2"/>
      <c r="S25" s="2"/>
      <c r="T25" s="2"/>
      <c r="U25" s="2"/>
      <c r="V25" s="2"/>
      <c r="W25" s="2"/>
      <c r="X25" s="2"/>
      <c r="Y25" s="2"/>
      <c r="Z25" s="2"/>
    </row>
    <row r="26" customFormat="false" ht="15.75" hidden="false" customHeight="false" outlineLevel="0" collapsed="false">
      <c r="A26" s="2" t="str">
        <f aca="false">"The RTP of the free games (contribution to the base game) is "&amp;TEXT(Calc!C89,"0.00%")</f>
        <v>The RTP of the free games (contribution to the base game) is 42.46%</v>
      </c>
      <c r="B26" s="2"/>
      <c r="C26" s="39" t="s">
        <v>96</v>
      </c>
      <c r="D26" s="40" t="n">
        <v>1</v>
      </c>
      <c r="E26" s="40" t="n">
        <v>0.25</v>
      </c>
      <c r="F26" s="41" t="n">
        <v>0.1</v>
      </c>
      <c r="G26" s="2" t="s">
        <v>97</v>
      </c>
      <c r="H26" s="7" t="s">
        <v>98</v>
      </c>
      <c r="I26" s="33" t="n">
        <v>8</v>
      </c>
      <c r="J26" s="9" t="s">
        <v>92</v>
      </c>
      <c r="K26" s="2"/>
      <c r="L26" s="2"/>
      <c r="M26" s="2"/>
      <c r="N26" s="2"/>
      <c r="O26" s="2"/>
      <c r="P26" s="2"/>
      <c r="Q26" s="2"/>
      <c r="R26" s="2"/>
      <c r="S26" s="2"/>
      <c r="T26" s="2"/>
      <c r="U26" s="2"/>
      <c r="V26" s="2"/>
      <c r="W26" s="2"/>
      <c r="X26" s="2"/>
      <c r="Y26" s="2"/>
      <c r="Z26" s="2"/>
    </row>
    <row r="27" customFormat="false" ht="15.75" hidden="false" customHeight="false" outlineLevel="0" collapsed="false">
      <c r="A27" s="2" t="str">
        <f aca="false">"The RTP of the overall game is "&amp;TEXT(Calc!C90,"0.00%")&amp;" (theoretical; simulated "&amp;TEXT(Simulation!C8,"0.00%")&amp;")"</f>
        <v>The RTP of the overall game is 96.03% (theoretical; simulated 96.21%)</v>
      </c>
      <c r="B27" s="2"/>
      <c r="C27" s="2"/>
      <c r="D27" s="2"/>
      <c r="E27" s="2"/>
      <c r="F27" s="2"/>
      <c r="G27" s="2"/>
      <c r="H27" s="7" t="s">
        <v>99</v>
      </c>
      <c r="I27" s="33" t="n">
        <v>10</v>
      </c>
      <c r="J27" s="9" t="s">
        <v>92</v>
      </c>
      <c r="K27" s="2"/>
      <c r="L27" s="2"/>
      <c r="M27" s="42"/>
      <c r="N27" s="2"/>
      <c r="O27" s="2"/>
      <c r="P27" s="2"/>
      <c r="Q27" s="2"/>
      <c r="R27" s="2"/>
      <c r="S27" s="2"/>
      <c r="T27" s="2"/>
      <c r="U27" s="2"/>
      <c r="V27" s="2"/>
      <c r="W27" s="2"/>
      <c r="X27" s="2"/>
      <c r="Y27" s="2"/>
      <c r="Z27" s="2"/>
    </row>
    <row r="28" customFormat="false" ht="15.75" hidden="false" customHeight="false" outlineLevel="0" collapsed="false">
      <c r="A28" s="2"/>
      <c r="B28" s="2"/>
      <c r="C28" s="2"/>
      <c r="D28" s="2"/>
      <c r="E28" s="2"/>
      <c r="F28" s="2"/>
      <c r="G28" s="2"/>
      <c r="H28" s="7" t="s">
        <v>100</v>
      </c>
      <c r="I28" s="33" t="n">
        <v>25000</v>
      </c>
      <c r="J28" s="9" t="s">
        <v>92</v>
      </c>
      <c r="K28" s="2"/>
      <c r="L28" s="2"/>
      <c r="M28" s="42"/>
      <c r="N28" s="2"/>
      <c r="O28" s="2"/>
      <c r="P28" s="2"/>
      <c r="Q28" s="2"/>
      <c r="R28" s="2"/>
      <c r="S28" s="2"/>
      <c r="T28" s="2"/>
      <c r="U28" s="2"/>
      <c r="V28" s="2"/>
      <c r="W28" s="2"/>
      <c r="X28" s="2"/>
      <c r="Y28" s="2"/>
      <c r="Z28" s="2"/>
    </row>
    <row r="29" customFormat="false" ht="15.75" hidden="false" customHeight="false" outlineLevel="0" collapsed="false">
      <c r="A29" s="1" t="s">
        <v>101</v>
      </c>
      <c r="B29" s="2"/>
      <c r="C29" s="2"/>
      <c r="D29" s="2"/>
      <c r="E29" s="2"/>
      <c r="F29" s="2"/>
      <c r="G29" s="2"/>
      <c r="H29" s="26" t="s">
        <v>102</v>
      </c>
      <c r="I29" s="43" t="n">
        <v>0</v>
      </c>
      <c r="J29" s="28" t="s">
        <v>103</v>
      </c>
      <c r="K29" s="2"/>
      <c r="L29" s="2"/>
      <c r="M29" s="42"/>
      <c r="N29" s="2"/>
      <c r="O29" s="2"/>
      <c r="P29" s="2"/>
      <c r="Q29" s="2"/>
      <c r="R29" s="2"/>
      <c r="S29" s="2"/>
      <c r="T29" s="2"/>
      <c r="U29" s="2"/>
      <c r="V29" s="2"/>
      <c r="W29" s="2"/>
      <c r="X29" s="2"/>
      <c r="Y29" s="2"/>
      <c r="Z29" s="2"/>
    </row>
    <row r="30" customFormat="false" ht="15.75" hidden="false" customHeight="false" outlineLevel="0" collapsed="false">
      <c r="A30" s="2" t="s">
        <v>104</v>
      </c>
      <c r="B30" s="2"/>
      <c r="C30" s="2"/>
      <c r="D30" s="2"/>
      <c r="E30" s="2"/>
      <c r="F30" s="2"/>
      <c r="G30" s="2"/>
      <c r="H30" s="2"/>
      <c r="I30" s="2"/>
      <c r="J30" s="2"/>
      <c r="K30" s="2"/>
      <c r="L30" s="2"/>
      <c r="M30" s="42"/>
      <c r="N30" s="2"/>
      <c r="O30" s="2"/>
      <c r="P30" s="2"/>
      <c r="Q30" s="2"/>
      <c r="R30" s="2"/>
      <c r="S30" s="2"/>
      <c r="T30" s="2"/>
      <c r="U30" s="2"/>
      <c r="V30" s="2"/>
      <c r="W30" s="2"/>
      <c r="X30" s="2"/>
      <c r="Y30" s="2"/>
      <c r="Z30" s="2"/>
    </row>
    <row r="31" customFormat="false" ht="15.75" hidden="false" customHeight="false" outlineLevel="0" collapsed="false">
      <c r="A31" s="2" t="s">
        <v>105</v>
      </c>
      <c r="B31" s="2"/>
      <c r="C31" s="2"/>
      <c r="D31" s="2"/>
      <c r="E31" s="2"/>
      <c r="F31" s="2"/>
      <c r="G31" s="2"/>
      <c r="H31" s="44"/>
      <c r="I31" s="2"/>
      <c r="J31" s="2"/>
      <c r="K31" s="2"/>
      <c r="L31" s="2"/>
      <c r="M31" s="42"/>
      <c r="N31" s="2"/>
      <c r="O31" s="2"/>
      <c r="P31" s="2"/>
      <c r="Q31" s="2"/>
      <c r="R31" s="2"/>
      <c r="S31" s="2"/>
      <c r="T31" s="2"/>
      <c r="U31" s="2"/>
      <c r="V31" s="2"/>
      <c r="W31" s="2"/>
      <c r="X31" s="2"/>
      <c r="Y31" s="2"/>
      <c r="Z31" s="2"/>
    </row>
    <row r="32" customFormat="false" ht="15.75" hidden="false" customHeight="false" outlineLevel="0" collapsed="false">
      <c r="A32" s="2" t="s">
        <v>106</v>
      </c>
      <c r="B32" s="2"/>
      <c r="C32" s="2"/>
      <c r="D32" s="2"/>
      <c r="E32" s="35"/>
      <c r="F32" s="2"/>
      <c r="G32" s="2"/>
      <c r="H32" s="44"/>
      <c r="I32" s="2"/>
      <c r="J32" s="2"/>
      <c r="K32" s="2"/>
      <c r="L32" s="2"/>
      <c r="M32" s="42"/>
      <c r="N32" s="2"/>
      <c r="O32" s="2"/>
      <c r="P32" s="2"/>
      <c r="Q32" s="2"/>
      <c r="R32" s="2"/>
      <c r="S32" s="2"/>
      <c r="T32" s="2"/>
      <c r="U32" s="2"/>
      <c r="V32" s="2"/>
      <c r="W32" s="2"/>
      <c r="X32" s="2"/>
      <c r="Y32" s="2"/>
      <c r="Z32" s="2"/>
    </row>
    <row r="33" customFormat="false" ht="15.75" hidden="false" customHeight="false" outlineLevel="0" collapsed="false">
      <c r="A33" s="2" t="str">
        <f aca="false">"The RTP of the Bonus Buy feature is "&amp;TEXT(Calc!C92,"0.00%")&amp;" (theoretical; simulated "&amp;TEXT(Simulation!D8,"0.00%")&amp;")"</f>
        <v>The RTP of the Bonus Buy feature is 96.08% (theoretical; simulated 96.11%)</v>
      </c>
      <c r="B33" s="2"/>
      <c r="C33" s="2"/>
      <c r="D33" s="2"/>
      <c r="E33" s="2"/>
      <c r="F33" s="2"/>
      <c r="G33" s="2"/>
      <c r="H33" s="44"/>
      <c r="I33" s="2"/>
      <c r="J33" s="2"/>
      <c r="K33" s="2"/>
      <c r="L33" s="2"/>
      <c r="M33" s="42"/>
      <c r="N33" s="2"/>
      <c r="O33" s="2"/>
      <c r="P33" s="2"/>
      <c r="Q33" s="2"/>
      <c r="R33" s="2"/>
      <c r="S33" s="2"/>
      <c r="T33" s="2"/>
      <c r="U33" s="2"/>
      <c r="V33" s="2"/>
      <c r="W33" s="2"/>
      <c r="X33" s="2"/>
      <c r="Y33" s="2"/>
      <c r="Z33" s="2"/>
    </row>
    <row r="34" customFormat="false" ht="15.75" hidden="false" customHeight="false" outlineLevel="0" collapsed="false">
      <c r="A34" s="2"/>
      <c r="B34" s="2"/>
      <c r="C34" s="2"/>
      <c r="D34" s="2"/>
      <c r="E34" s="2"/>
      <c r="F34" s="2"/>
      <c r="G34" s="2"/>
      <c r="H34" s="44"/>
      <c r="I34" s="2"/>
      <c r="J34" s="2"/>
      <c r="K34" s="2"/>
      <c r="L34" s="2"/>
      <c r="M34" s="42"/>
      <c r="N34" s="2"/>
      <c r="O34" s="2"/>
      <c r="P34" s="2"/>
      <c r="Q34" s="2"/>
      <c r="R34" s="2"/>
      <c r="S34" s="2"/>
      <c r="T34" s="2"/>
      <c r="U34" s="2"/>
      <c r="V34" s="2"/>
      <c r="W34" s="2"/>
      <c r="X34" s="2"/>
      <c r="Y34" s="2"/>
      <c r="Z34" s="2"/>
    </row>
    <row r="35" customFormat="false" ht="15.75" hidden="false" customHeight="false" outlineLevel="0" collapsed="false">
      <c r="A35" s="45" t="s">
        <v>107</v>
      </c>
      <c r="B35" s="2"/>
      <c r="C35" s="2"/>
      <c r="D35" s="2"/>
      <c r="E35" s="2"/>
      <c r="F35" s="2"/>
      <c r="G35" s="2"/>
      <c r="H35" s="44"/>
      <c r="I35" s="2"/>
      <c r="J35" s="2"/>
      <c r="K35" s="2"/>
      <c r="L35" s="2"/>
      <c r="M35" s="42"/>
      <c r="N35" s="2"/>
      <c r="O35" s="2"/>
      <c r="P35" s="2"/>
      <c r="Q35" s="2"/>
      <c r="R35" s="2"/>
      <c r="S35" s="2"/>
      <c r="T35" s="2"/>
      <c r="U35" s="2"/>
      <c r="V35" s="2"/>
      <c r="W35" s="2"/>
      <c r="X35" s="2"/>
      <c r="Y35" s="2"/>
      <c r="Z35" s="2"/>
    </row>
    <row r="36" customFormat="false" ht="15.75" hidden="false" customHeight="false" outlineLevel="0" collapsed="false">
      <c r="A36" s="2" t="s">
        <v>108</v>
      </c>
      <c r="B36" s="2"/>
      <c r="C36" s="46" t="n">
        <v>4.1</v>
      </c>
      <c r="D36" s="2"/>
      <c r="E36" s="2"/>
      <c r="F36" s="2"/>
      <c r="G36" s="2"/>
      <c r="H36" s="44"/>
      <c r="I36" s="2"/>
      <c r="J36" s="2"/>
      <c r="K36" s="2"/>
      <c r="L36" s="2"/>
      <c r="M36" s="2"/>
      <c r="N36" s="2"/>
      <c r="O36" s="2"/>
      <c r="P36" s="2"/>
      <c r="Q36" s="2"/>
      <c r="R36" s="2"/>
      <c r="S36" s="2"/>
      <c r="T36" s="2"/>
      <c r="U36" s="2"/>
      <c r="V36" s="2"/>
      <c r="W36" s="2"/>
      <c r="X36" s="2"/>
      <c r="Y36" s="2"/>
      <c r="Z36" s="2"/>
    </row>
    <row r="37" customFormat="false" ht="15.75" hidden="false" customHeight="false" outlineLevel="0" collapsed="false">
      <c r="A37" s="2" t="s">
        <v>109</v>
      </c>
      <c r="B37" s="2"/>
      <c r="C37" s="2" t="s">
        <v>110</v>
      </c>
      <c r="D37" s="2" t="s">
        <v>111</v>
      </c>
      <c r="E37" s="2" t="s">
        <v>112</v>
      </c>
      <c r="F37" s="2"/>
      <c r="G37" s="2"/>
      <c r="H37" s="2"/>
      <c r="I37" s="2"/>
      <c r="J37" s="2"/>
      <c r="K37" s="2"/>
      <c r="L37" s="2"/>
      <c r="M37" s="2"/>
      <c r="N37" s="2"/>
      <c r="O37" s="2"/>
      <c r="P37" s="2"/>
      <c r="Q37" s="2"/>
      <c r="R37" s="2"/>
      <c r="S37" s="2"/>
      <c r="T37" s="2"/>
      <c r="U37" s="2"/>
      <c r="V37" s="2"/>
      <c r="W37" s="2"/>
      <c r="X37" s="2"/>
      <c r="Y37" s="2"/>
      <c r="Z37" s="2"/>
    </row>
    <row r="38" customFormat="false" ht="15.75" hidden="false" customHeight="false" outlineLevel="0" collapsed="false">
      <c r="A38" s="2" t="s">
        <v>113</v>
      </c>
      <c r="B38" s="2"/>
      <c r="C38" s="2" t="s">
        <v>114</v>
      </c>
      <c r="D38" s="47" t="n">
        <v>1000</v>
      </c>
      <c r="E38" s="2" t="s">
        <v>92</v>
      </c>
      <c r="F38" s="2"/>
      <c r="G38" s="2"/>
      <c r="H38" s="2"/>
      <c r="I38" s="2"/>
      <c r="J38" s="2"/>
      <c r="K38" s="2"/>
      <c r="L38" s="2"/>
      <c r="M38" s="2"/>
      <c r="N38" s="2"/>
      <c r="O38" s="2"/>
      <c r="P38" s="2"/>
      <c r="Q38" s="2"/>
      <c r="R38" s="2"/>
      <c r="S38" s="2"/>
      <c r="T38" s="2"/>
      <c r="U38" s="2"/>
      <c r="V38" s="2"/>
      <c r="W38" s="2"/>
      <c r="X38" s="2"/>
      <c r="Y38" s="2"/>
      <c r="Z38" s="2"/>
    </row>
    <row r="39" customFormat="false" ht="15.75" hidden="false" customHeight="false" outlineLevel="0" collapsed="false">
      <c r="A39" s="2" t="str">
        <f aca="false">"The RTP of Max Win or Nothing is "&amp;TEXT(D41,"0.00%")&amp;" (win 1 in "&amp;TEXT(D42,"0.0")&amp;" buys)"</f>
        <v>The RTP of Max Win or Nothing is 96.00% (win 1 in 26.0 buys)</v>
      </c>
      <c r="B39" s="2"/>
      <c r="C39" s="2" t="s">
        <v>115</v>
      </c>
      <c r="D39" s="47" t="n">
        <v>25000</v>
      </c>
      <c r="E39" s="2" t="s">
        <v>92</v>
      </c>
      <c r="F39" s="2"/>
      <c r="G39" s="2"/>
      <c r="H39" s="2"/>
      <c r="I39" s="2"/>
      <c r="J39" s="2"/>
      <c r="K39" s="2"/>
      <c r="L39" s="2"/>
      <c r="M39" s="2"/>
      <c r="N39" s="2"/>
      <c r="O39" s="2"/>
      <c r="P39" s="2"/>
      <c r="Q39" s="2"/>
      <c r="R39" s="2"/>
      <c r="S39" s="2"/>
      <c r="T39" s="2"/>
      <c r="U39" s="2"/>
      <c r="V39" s="2"/>
      <c r="W39" s="2"/>
      <c r="X39" s="2"/>
      <c r="Y39" s="2"/>
      <c r="Z39" s="2"/>
    </row>
    <row r="40" customFormat="false" ht="15.75" hidden="false" customHeight="false" outlineLevel="0" collapsed="false">
      <c r="A40" s="2" t="s">
        <v>116</v>
      </c>
      <c r="B40" s="2"/>
      <c r="C40" s="2" t="s">
        <v>117</v>
      </c>
      <c r="D40" s="48" t="n">
        <v>0.0384</v>
      </c>
      <c r="E40" s="2" t="s">
        <v>118</v>
      </c>
      <c r="F40" s="2"/>
      <c r="G40" s="2"/>
      <c r="H40" s="2"/>
      <c r="I40" s="2"/>
      <c r="J40" s="2"/>
      <c r="K40" s="2"/>
      <c r="L40" s="2"/>
      <c r="M40" s="2"/>
      <c r="N40" s="2"/>
      <c r="O40" s="2"/>
      <c r="P40" s="2"/>
      <c r="Q40" s="2"/>
      <c r="R40" s="2"/>
      <c r="S40" s="2"/>
      <c r="T40" s="2"/>
      <c r="U40" s="2"/>
      <c r="V40" s="2"/>
      <c r="W40" s="2"/>
      <c r="X40" s="2"/>
      <c r="Y40" s="2"/>
      <c r="Z40" s="2"/>
    </row>
    <row r="41" customFormat="false" ht="15.75" hidden="false" customHeight="false" outlineLevel="0" collapsed="false">
      <c r="A41" s="2"/>
      <c r="B41" s="2"/>
      <c r="C41" s="2" t="s">
        <v>119</v>
      </c>
      <c r="D41" s="44" t="n">
        <f aca="false">D40*D39/D38</f>
        <v>0.96</v>
      </c>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false" outlineLevel="0" collapsed="false">
      <c r="A42" s="2" t="s">
        <v>120</v>
      </c>
      <c r="B42" s="2"/>
      <c r="C42" s="2" t="s">
        <v>121</v>
      </c>
      <c r="D42" s="49" t="n">
        <f aca="false">1/D40</f>
        <v>26.0416666666667</v>
      </c>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false" outlineLevel="0" collapsed="false">
      <c r="A43" s="2"/>
      <c r="B43" s="2"/>
      <c r="C43" s="2" t="s">
        <v>122</v>
      </c>
      <c r="D43" s="44" t="n">
        <f aca="false">0.038*D39/D38</f>
        <v>0.95</v>
      </c>
      <c r="E43" s="2"/>
      <c r="F43" s="2"/>
      <c r="G43" s="2"/>
      <c r="H43" s="2"/>
      <c r="I43" s="2"/>
      <c r="J43" s="2"/>
      <c r="K43" s="2"/>
      <c r="L43" s="50"/>
      <c r="M43" s="2"/>
      <c r="N43" s="2"/>
      <c r="O43" s="2"/>
      <c r="P43" s="2"/>
      <c r="Q43" s="2"/>
      <c r="R43" s="2"/>
      <c r="S43" s="2"/>
      <c r="T43" s="2"/>
      <c r="U43" s="2"/>
      <c r="V43" s="2"/>
      <c r="W43" s="2"/>
      <c r="X43" s="2"/>
      <c r="Y43" s="2"/>
      <c r="Z43" s="2"/>
    </row>
    <row r="44" customFormat="false" ht="15.75" hidden="false" customHeight="false" outlineLevel="0" collapsed="false">
      <c r="A44" s="2"/>
      <c r="B44" s="2"/>
      <c r="C44" s="2" t="s">
        <v>123</v>
      </c>
      <c r="D44" s="51" t="n">
        <f aca="false">SQRT(D40*(1-D40))*D39/D38</f>
        <v>4.80399833472078</v>
      </c>
      <c r="E44" s="2"/>
      <c r="F44" s="2"/>
      <c r="G44" s="2"/>
      <c r="H44" s="2"/>
      <c r="I44" s="2"/>
      <c r="J44" s="2"/>
      <c r="K44" s="2"/>
      <c r="L44" s="50"/>
      <c r="M44" s="2"/>
      <c r="N44" s="2"/>
      <c r="O44" s="2"/>
      <c r="P44" s="2"/>
      <c r="Q44" s="2"/>
      <c r="R44" s="2"/>
      <c r="S44" s="2"/>
      <c r="T44" s="2"/>
      <c r="U44" s="2"/>
      <c r="V44" s="2"/>
      <c r="W44" s="2"/>
      <c r="X44" s="2"/>
      <c r="Y44" s="2"/>
      <c r="Z44" s="2"/>
    </row>
    <row r="45" customFormat="false" ht="15.75" hidden="false" customHeight="false" outlineLevel="0" collapsed="false">
      <c r="A45" s="2"/>
      <c r="B45" s="2"/>
      <c r="C45" s="2" t="s">
        <v>124</v>
      </c>
      <c r="D45" s="44" t="n">
        <f aca="false">1-D40</f>
        <v>0.9616</v>
      </c>
      <c r="E45" s="2"/>
      <c r="F45" s="2"/>
      <c r="G45" s="2"/>
      <c r="H45" s="2"/>
      <c r="I45" s="2"/>
      <c r="J45" s="2"/>
      <c r="K45" s="2"/>
      <c r="L45" s="50"/>
      <c r="M45" s="2"/>
      <c r="N45" s="2"/>
      <c r="O45" s="2"/>
      <c r="P45" s="2"/>
      <c r="Q45" s="2"/>
      <c r="R45" s="2"/>
      <c r="S45" s="2"/>
      <c r="T45" s="2"/>
      <c r="U45" s="2"/>
      <c r="V45" s="2"/>
      <c r="W45" s="2"/>
      <c r="X45" s="2"/>
      <c r="Y45" s="2"/>
      <c r="Z45" s="2"/>
    </row>
    <row r="46" customFormat="false" ht="15.75" hidden="false" customHeight="false" outlineLevel="0" collapsed="false">
      <c r="A46" s="2"/>
      <c r="B46" s="2"/>
      <c r="C46" s="2"/>
      <c r="D46" s="2"/>
      <c r="E46" s="2"/>
      <c r="F46" s="2"/>
      <c r="G46" s="2"/>
      <c r="H46" s="2"/>
      <c r="I46" s="2"/>
      <c r="J46" s="2"/>
      <c r="K46" s="2"/>
      <c r="L46" s="50"/>
      <c r="M46" s="2"/>
      <c r="N46" s="2"/>
      <c r="O46" s="2"/>
      <c r="P46" s="2"/>
      <c r="Q46" s="2"/>
      <c r="R46" s="2"/>
      <c r="S46" s="2"/>
      <c r="T46" s="2"/>
      <c r="U46" s="2"/>
      <c r="V46" s="2"/>
      <c r="W46" s="2"/>
      <c r="X46" s="2"/>
      <c r="Y46" s="2"/>
      <c r="Z46" s="2"/>
    </row>
    <row r="47" customFormat="false" ht="15.75" hidden="false" customHeight="false" outlineLevel="0" collapsed="false">
      <c r="A47" s="2"/>
      <c r="B47" s="2"/>
      <c r="C47" s="2"/>
      <c r="D47" s="2"/>
      <c r="E47" s="2"/>
      <c r="F47" s="2"/>
      <c r="G47" s="2"/>
      <c r="H47" s="2"/>
      <c r="I47" s="2"/>
      <c r="J47" s="2"/>
      <c r="K47" s="2"/>
      <c r="L47" s="50"/>
      <c r="M47" s="2"/>
      <c r="N47" s="2"/>
      <c r="O47" s="2"/>
      <c r="P47" s="2"/>
      <c r="Q47" s="2"/>
      <c r="R47" s="2"/>
      <c r="S47" s="2"/>
      <c r="T47" s="2"/>
      <c r="U47" s="2"/>
      <c r="V47" s="2"/>
      <c r="W47" s="2"/>
      <c r="X47" s="2"/>
      <c r="Y47" s="2"/>
      <c r="Z47" s="2"/>
    </row>
    <row r="48" customFormat="false" ht="15.75" hidden="false" customHeight="false" outlineLevel="0" collapsed="false">
      <c r="A48" s="2"/>
      <c r="B48" s="2"/>
      <c r="C48" s="2"/>
      <c r="D48" s="35"/>
      <c r="E48" s="2"/>
      <c r="F48" s="2"/>
      <c r="G48" s="2"/>
      <c r="H48" s="2"/>
      <c r="I48" s="2"/>
      <c r="J48" s="2"/>
      <c r="K48" s="2"/>
      <c r="L48" s="50"/>
      <c r="M48" s="2"/>
      <c r="N48" s="2"/>
      <c r="O48" s="2"/>
      <c r="P48" s="2"/>
      <c r="Q48" s="2"/>
      <c r="R48" s="2"/>
      <c r="S48" s="2"/>
      <c r="T48" s="2"/>
      <c r="U48" s="2"/>
      <c r="V48" s="2"/>
      <c r="W48" s="2"/>
      <c r="X48" s="2"/>
      <c r="Y48" s="2"/>
      <c r="Z48" s="2"/>
    </row>
    <row r="49" customFormat="false" ht="15.75" hidden="false" customHeight="false" outlineLevel="0" collapsed="false">
      <c r="A49" s="2"/>
      <c r="B49" s="2"/>
      <c r="C49" s="2"/>
      <c r="D49" s="35"/>
      <c r="E49" s="2"/>
      <c r="F49" s="2"/>
      <c r="G49" s="2"/>
      <c r="H49" s="2"/>
      <c r="I49" s="2"/>
      <c r="J49" s="2"/>
      <c r="K49" s="2"/>
      <c r="L49" s="50"/>
      <c r="M49" s="2"/>
      <c r="N49" s="2"/>
      <c r="O49" s="2"/>
      <c r="P49" s="2"/>
      <c r="Q49" s="2"/>
      <c r="R49" s="2"/>
      <c r="S49" s="2"/>
      <c r="T49" s="2"/>
      <c r="U49" s="2"/>
      <c r="V49" s="2"/>
      <c r="W49" s="2"/>
      <c r="X49" s="2"/>
      <c r="Y49" s="2"/>
      <c r="Z49" s="2"/>
    </row>
    <row r="50" customFormat="false" ht="15.75" hidden="false" customHeight="false" outlineLevel="0" collapsed="false">
      <c r="A50" s="2"/>
      <c r="B50" s="2"/>
      <c r="C50" s="2"/>
      <c r="D50" s="35"/>
      <c r="E50" s="2"/>
      <c r="F50" s="2"/>
      <c r="G50" s="2"/>
      <c r="H50" s="2"/>
      <c r="I50" s="2"/>
      <c r="J50" s="2"/>
      <c r="K50" s="2"/>
      <c r="L50" s="50"/>
      <c r="M50" s="2"/>
      <c r="N50" s="2"/>
      <c r="O50" s="2"/>
      <c r="P50" s="2"/>
      <c r="Q50" s="2"/>
      <c r="R50" s="2"/>
      <c r="S50" s="2"/>
      <c r="T50" s="2"/>
      <c r="U50" s="2"/>
      <c r="V50" s="2"/>
      <c r="W50" s="2"/>
      <c r="X50" s="2"/>
      <c r="Y50" s="2"/>
      <c r="Z50" s="2"/>
    </row>
    <row r="51" customFormat="false" ht="15.75" hidden="false" customHeight="false" outlineLevel="0" collapsed="false">
      <c r="A51" s="2"/>
      <c r="B51" s="2"/>
      <c r="C51" s="2"/>
      <c r="D51" s="35"/>
      <c r="E51" s="2"/>
      <c r="F51" s="2"/>
      <c r="G51" s="2"/>
      <c r="H51" s="2"/>
      <c r="I51" s="2"/>
      <c r="J51" s="2"/>
      <c r="K51" s="2"/>
      <c r="L51" s="50"/>
      <c r="M51" s="2"/>
      <c r="N51" s="2"/>
      <c r="O51" s="2"/>
      <c r="P51" s="2"/>
      <c r="Q51" s="2"/>
      <c r="R51" s="2"/>
      <c r="S51" s="2"/>
      <c r="T51" s="2"/>
      <c r="U51" s="2"/>
      <c r="V51" s="2"/>
      <c r="W51" s="2"/>
      <c r="X51" s="2"/>
      <c r="Y51" s="2"/>
      <c r="Z51" s="2"/>
    </row>
    <row r="52" customFormat="false" ht="15.75" hidden="false" customHeight="false" outlineLevel="0" collapsed="false">
      <c r="A52" s="2"/>
      <c r="B52" s="2"/>
      <c r="C52" s="2"/>
      <c r="D52" s="35"/>
      <c r="E52" s="2"/>
      <c r="F52" s="2"/>
      <c r="G52" s="2"/>
      <c r="H52" s="2"/>
      <c r="I52" s="2"/>
      <c r="J52" s="2"/>
      <c r="K52" s="2"/>
      <c r="L52" s="35"/>
      <c r="M52" s="2"/>
      <c r="N52" s="2"/>
      <c r="O52" s="2"/>
      <c r="P52" s="2"/>
      <c r="Q52" s="2"/>
      <c r="R52" s="2"/>
      <c r="S52" s="2"/>
      <c r="T52" s="2"/>
      <c r="U52" s="2"/>
      <c r="V52" s="2"/>
      <c r="W52" s="2"/>
      <c r="X52" s="2"/>
      <c r="Y52" s="2"/>
      <c r="Z52" s="2"/>
    </row>
    <row r="53" customFormat="false" ht="15.75" hidden="false" customHeight="false" outlineLevel="0" collapsed="false">
      <c r="A53" s="2"/>
      <c r="B53" s="2"/>
      <c r="C53" s="2"/>
      <c r="D53" s="35"/>
      <c r="E53" s="2"/>
      <c r="F53" s="2"/>
      <c r="G53" s="2"/>
      <c r="H53" s="2"/>
      <c r="I53" s="2"/>
      <c r="J53" s="2"/>
      <c r="K53" s="2"/>
      <c r="L53" s="35"/>
      <c r="M53" s="2"/>
      <c r="N53" s="2"/>
      <c r="O53" s="2"/>
      <c r="P53" s="2"/>
      <c r="Q53" s="2"/>
      <c r="R53" s="2"/>
      <c r="S53" s="2"/>
      <c r="T53" s="2"/>
      <c r="U53" s="2"/>
      <c r="V53" s="2"/>
      <c r="W53" s="2"/>
      <c r="X53" s="2"/>
      <c r="Y53" s="2"/>
      <c r="Z53" s="2"/>
    </row>
    <row r="54" customFormat="false" ht="15.75" hidden="false" customHeight="false" outlineLevel="0" collapsed="false">
      <c r="A54" s="2"/>
      <c r="B54" s="2"/>
      <c r="C54" s="2"/>
      <c r="D54" s="35"/>
      <c r="E54" s="2"/>
      <c r="F54" s="2"/>
      <c r="G54" s="2"/>
      <c r="H54" s="2"/>
      <c r="I54" s="2"/>
      <c r="J54" s="2"/>
      <c r="K54" s="2"/>
      <c r="L54" s="35"/>
      <c r="M54" s="2"/>
      <c r="N54" s="2"/>
      <c r="O54" s="2"/>
      <c r="P54" s="2"/>
      <c r="Q54" s="2"/>
      <c r="R54" s="2"/>
      <c r="S54" s="2"/>
      <c r="T54" s="2"/>
      <c r="U54" s="2"/>
      <c r="V54" s="2"/>
      <c r="W54" s="2"/>
      <c r="X54" s="2"/>
      <c r="Y54" s="2"/>
      <c r="Z54" s="2"/>
    </row>
    <row r="55" customFormat="false" ht="15.75" hidden="false" customHeight="false" outlineLevel="0" collapsed="false">
      <c r="A55" s="2"/>
      <c r="B55" s="2"/>
      <c r="C55" s="2"/>
      <c r="D55" s="35"/>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false" outlineLevel="0" collapsed="false">
      <c r="A56" s="2"/>
      <c r="B56" s="2"/>
      <c r="C56" s="2"/>
      <c r="D56" s="35"/>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false" outlineLevel="0" collapsed="false">
      <c r="A57" s="2"/>
      <c r="B57" s="2"/>
      <c r="C57" s="2"/>
      <c r="D57" s="35"/>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false" outlineLevel="0" collapsed="false">
      <c r="A58" s="2"/>
      <c r="B58" s="2"/>
      <c r="C58" s="2"/>
      <c r="D58" s="35"/>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fals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fals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fals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fals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fals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fals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fals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fals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fals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fals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fals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fals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fals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fals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fals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fals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fals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
    <mergeCell ref="D2:H2"/>
    <mergeCell ref="J2:M2"/>
    <mergeCell ref="C14:F14"/>
    <mergeCell ref="H14:J14"/>
    <mergeCell ref="H22:J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52" t="s">
        <v>0</v>
      </c>
      <c r="B1" s="53" t="s">
        <v>125</v>
      </c>
      <c r="C1" s="53" t="s">
        <v>126</v>
      </c>
      <c r="D1" s="53" t="s">
        <v>127</v>
      </c>
      <c r="E1" s="53" t="s">
        <v>128</v>
      </c>
      <c r="F1" s="53" t="s">
        <v>129</v>
      </c>
      <c r="G1" s="54"/>
      <c r="H1" s="52" t="s">
        <v>130</v>
      </c>
      <c r="I1" s="53" t="s">
        <v>131</v>
      </c>
      <c r="J1" s="53" t="s">
        <v>132</v>
      </c>
      <c r="K1" s="53" t="s">
        <v>133</v>
      </c>
      <c r="L1" s="53" t="s">
        <v>134</v>
      </c>
      <c r="M1" s="53" t="s">
        <v>135</v>
      </c>
      <c r="N1" s="54"/>
      <c r="O1" s="52" t="s">
        <v>136</v>
      </c>
      <c r="P1" s="53" t="s">
        <v>137</v>
      </c>
      <c r="Q1" s="53" t="s">
        <v>138</v>
      </c>
      <c r="R1" s="53" t="s">
        <v>139</v>
      </c>
      <c r="S1" s="53" t="s">
        <v>140</v>
      </c>
      <c r="T1" s="53" t="s">
        <v>141</v>
      </c>
      <c r="U1" s="2"/>
      <c r="V1" s="2" t="s">
        <v>107</v>
      </c>
      <c r="W1" s="2" t="s">
        <v>142</v>
      </c>
      <c r="X1" s="2" t="s">
        <v>143</v>
      </c>
      <c r="Y1" s="2" t="s">
        <v>144</v>
      </c>
      <c r="Z1" s="2" t="s">
        <v>145</v>
      </c>
      <c r="AA1" s="2" t="s">
        <v>146</v>
      </c>
    </row>
    <row r="2" customFormat="false" ht="15.75" hidden="false" customHeight="false" outlineLevel="0" collapsed="false">
      <c r="A2" s="2"/>
      <c r="B2" s="2" t="s">
        <v>75</v>
      </c>
      <c r="C2" s="2" t="s">
        <v>93</v>
      </c>
      <c r="D2" s="2" t="s">
        <v>81</v>
      </c>
      <c r="E2" s="2" t="s">
        <v>89</v>
      </c>
      <c r="F2" s="2" t="s">
        <v>81</v>
      </c>
      <c r="G2" s="2"/>
      <c r="H2" s="2"/>
      <c r="I2" s="2" t="s">
        <v>83</v>
      </c>
      <c r="J2" s="2" t="s">
        <v>78</v>
      </c>
      <c r="K2" s="2" t="s">
        <v>83</v>
      </c>
      <c r="L2" s="2" t="s">
        <v>66</v>
      </c>
      <c r="M2" s="2" t="s">
        <v>72</v>
      </c>
      <c r="N2" s="2"/>
      <c r="O2" s="2"/>
      <c r="P2" s="2" t="s">
        <v>147</v>
      </c>
      <c r="Q2" s="2" t="s">
        <v>83</v>
      </c>
      <c r="R2" s="2" t="s">
        <v>147</v>
      </c>
      <c r="S2" s="2" t="s">
        <v>78</v>
      </c>
      <c r="T2" s="2" t="s">
        <v>147</v>
      </c>
      <c r="U2" s="2"/>
      <c r="V2" s="2" t="s">
        <v>148</v>
      </c>
      <c r="W2" s="2" t="s">
        <v>78</v>
      </c>
      <c r="X2" s="2" t="s">
        <v>72</v>
      </c>
      <c r="Y2" s="2" t="s">
        <v>72</v>
      </c>
      <c r="Z2" s="2" t="s">
        <v>96</v>
      </c>
      <c r="AA2" s="2" t="s">
        <v>78</v>
      </c>
    </row>
    <row r="3" customFormat="false" ht="15.75" hidden="false" customHeight="false" outlineLevel="0" collapsed="false">
      <c r="A3" s="2"/>
      <c r="B3" s="2" t="s">
        <v>66</v>
      </c>
      <c r="C3" s="2" t="s">
        <v>89</v>
      </c>
      <c r="D3" s="2" t="s">
        <v>72</v>
      </c>
      <c r="E3" s="2" t="s">
        <v>72</v>
      </c>
      <c r="F3" s="2" t="s">
        <v>89</v>
      </c>
      <c r="G3" s="2"/>
      <c r="H3" s="2"/>
      <c r="I3" s="2" t="s">
        <v>83</v>
      </c>
      <c r="J3" s="2" t="s">
        <v>78</v>
      </c>
      <c r="K3" s="2" t="s">
        <v>83</v>
      </c>
      <c r="L3" s="2" t="s">
        <v>66</v>
      </c>
      <c r="M3" s="2" t="s">
        <v>72</v>
      </c>
      <c r="N3" s="2"/>
      <c r="O3" s="2"/>
      <c r="P3" s="2" t="s">
        <v>89</v>
      </c>
      <c r="Q3" s="2" t="s">
        <v>78</v>
      </c>
      <c r="R3" s="2" t="s">
        <v>75</v>
      </c>
      <c r="S3" s="2" t="s">
        <v>66</v>
      </c>
      <c r="T3" s="2" t="s">
        <v>63</v>
      </c>
      <c r="U3" s="2"/>
      <c r="V3" s="2"/>
      <c r="W3" s="2" t="s">
        <v>78</v>
      </c>
      <c r="X3" s="2" t="s">
        <v>72</v>
      </c>
      <c r="Y3" s="2" t="s">
        <v>72</v>
      </c>
      <c r="Z3" s="2" t="s">
        <v>96</v>
      </c>
      <c r="AA3" s="2" t="s">
        <v>78</v>
      </c>
    </row>
    <row r="4" customFormat="false" ht="15.75" hidden="false" customHeight="false" outlineLevel="0" collapsed="false">
      <c r="A4" s="2"/>
      <c r="B4" s="2" t="s">
        <v>66</v>
      </c>
      <c r="C4" s="2" t="s">
        <v>89</v>
      </c>
      <c r="D4" s="2" t="s">
        <v>78</v>
      </c>
      <c r="E4" s="2" t="s">
        <v>63</v>
      </c>
      <c r="F4" s="2" t="s">
        <v>83</v>
      </c>
      <c r="G4" s="2"/>
      <c r="H4" s="2"/>
      <c r="I4" s="2" t="s">
        <v>83</v>
      </c>
      <c r="J4" s="2" t="s">
        <v>78</v>
      </c>
      <c r="K4" s="2" t="s">
        <v>83</v>
      </c>
      <c r="L4" s="2" t="s">
        <v>66</v>
      </c>
      <c r="M4" s="2" t="s">
        <v>72</v>
      </c>
      <c r="N4" s="2"/>
      <c r="O4" s="2"/>
      <c r="P4" s="2" t="s">
        <v>81</v>
      </c>
      <c r="Q4" s="2" t="s">
        <v>66</v>
      </c>
      <c r="R4" s="2" t="s">
        <v>96</v>
      </c>
      <c r="S4" s="2" t="s">
        <v>93</v>
      </c>
      <c r="T4" s="2" t="s">
        <v>89</v>
      </c>
      <c r="U4" s="2"/>
      <c r="V4" s="2"/>
      <c r="W4" s="2" t="s">
        <v>78</v>
      </c>
      <c r="X4" s="2" t="s">
        <v>72</v>
      </c>
      <c r="Y4" s="2" t="s">
        <v>72</v>
      </c>
      <c r="Z4" s="2" t="s">
        <v>96</v>
      </c>
      <c r="AA4" s="2" t="s">
        <v>78</v>
      </c>
    </row>
    <row r="5" customFormat="false" ht="15.75" hidden="false" customHeight="false" outlineLevel="0" collapsed="false">
      <c r="A5" s="2"/>
      <c r="B5" s="2" t="s">
        <v>93</v>
      </c>
      <c r="C5" s="2" t="s">
        <v>81</v>
      </c>
      <c r="D5" s="2" t="s">
        <v>72</v>
      </c>
      <c r="E5" s="2" t="s">
        <v>78</v>
      </c>
      <c r="F5" s="2" t="s">
        <v>78</v>
      </c>
      <c r="G5" s="2"/>
      <c r="H5" s="2"/>
      <c r="I5" s="2" t="s">
        <v>83</v>
      </c>
      <c r="J5" s="2" t="s">
        <v>78</v>
      </c>
      <c r="K5" s="2" t="s">
        <v>83</v>
      </c>
      <c r="L5" s="2" t="s">
        <v>66</v>
      </c>
      <c r="M5" s="2" t="s">
        <v>72</v>
      </c>
      <c r="N5" s="2"/>
      <c r="O5" s="2"/>
      <c r="P5" s="2" t="s">
        <v>81</v>
      </c>
      <c r="Q5" s="2" t="s">
        <v>93</v>
      </c>
      <c r="R5" s="2" t="s">
        <v>96</v>
      </c>
      <c r="S5" s="2" t="s">
        <v>93</v>
      </c>
      <c r="T5" s="2" t="s">
        <v>63</v>
      </c>
      <c r="U5" s="2"/>
      <c r="V5" s="2"/>
      <c r="W5" s="2" t="s">
        <v>96</v>
      </c>
      <c r="X5" s="2" t="s">
        <v>63</v>
      </c>
      <c r="Y5" s="2" t="s">
        <v>96</v>
      </c>
      <c r="Z5" s="2" t="s">
        <v>69</v>
      </c>
      <c r="AA5" s="2" t="s">
        <v>72</v>
      </c>
    </row>
    <row r="6" customFormat="false" ht="15.75" hidden="false" customHeight="false" outlineLevel="0" collapsed="false">
      <c r="A6" s="2"/>
      <c r="B6" s="2" t="s">
        <v>96</v>
      </c>
      <c r="C6" s="2" t="s">
        <v>78</v>
      </c>
      <c r="D6" s="2" t="s">
        <v>96</v>
      </c>
      <c r="E6" s="2" t="s">
        <v>96</v>
      </c>
      <c r="F6" s="2" t="s">
        <v>96</v>
      </c>
      <c r="G6" s="2"/>
      <c r="H6" s="2"/>
      <c r="I6" s="2" t="s">
        <v>81</v>
      </c>
      <c r="J6" s="2" t="s">
        <v>83</v>
      </c>
      <c r="K6" s="2" t="s">
        <v>89</v>
      </c>
      <c r="L6" s="2" t="s">
        <v>69</v>
      </c>
      <c r="M6" s="2" t="s">
        <v>63</v>
      </c>
      <c r="N6" s="2"/>
      <c r="O6" s="2"/>
      <c r="P6" s="2" t="s">
        <v>147</v>
      </c>
      <c r="Q6" s="2" t="s">
        <v>93</v>
      </c>
      <c r="R6" s="2" t="s">
        <v>147</v>
      </c>
      <c r="S6" s="2" t="s">
        <v>93</v>
      </c>
      <c r="T6" s="2" t="s">
        <v>147</v>
      </c>
      <c r="U6" s="2"/>
      <c r="V6" s="2"/>
      <c r="W6" s="2" t="s">
        <v>96</v>
      </c>
      <c r="X6" s="2" t="s">
        <v>63</v>
      </c>
      <c r="Y6" s="2" t="s">
        <v>96</v>
      </c>
      <c r="Z6" s="2" t="s">
        <v>69</v>
      </c>
      <c r="AA6" s="2" t="s">
        <v>72</v>
      </c>
    </row>
    <row r="7" customFormat="false" ht="15.75" hidden="false" customHeight="false" outlineLevel="0" collapsed="false">
      <c r="A7" s="2"/>
      <c r="B7" s="2" t="s">
        <v>81</v>
      </c>
      <c r="C7" s="2" t="s">
        <v>69</v>
      </c>
      <c r="D7" s="2" t="s">
        <v>93</v>
      </c>
      <c r="E7" s="2" t="s">
        <v>69</v>
      </c>
      <c r="F7" s="2" t="s">
        <v>63</v>
      </c>
      <c r="G7" s="2"/>
      <c r="H7" s="2"/>
      <c r="I7" s="2" t="s">
        <v>81</v>
      </c>
      <c r="J7" s="2" t="s">
        <v>83</v>
      </c>
      <c r="K7" s="2" t="s">
        <v>89</v>
      </c>
      <c r="L7" s="2" t="s">
        <v>69</v>
      </c>
      <c r="M7" s="2" t="s">
        <v>63</v>
      </c>
      <c r="N7" s="2"/>
      <c r="O7" s="2"/>
      <c r="P7" s="2" t="s">
        <v>75</v>
      </c>
      <c r="Q7" s="2" t="s">
        <v>78</v>
      </c>
      <c r="R7" s="2" t="s">
        <v>81</v>
      </c>
      <c r="S7" s="2" t="s">
        <v>78</v>
      </c>
      <c r="T7" s="2" t="s">
        <v>69</v>
      </c>
      <c r="U7" s="2"/>
      <c r="V7" s="2"/>
      <c r="W7" s="2" t="s">
        <v>96</v>
      </c>
      <c r="X7" s="2" t="s">
        <v>63</v>
      </c>
      <c r="Y7" s="2" t="s">
        <v>96</v>
      </c>
      <c r="Z7" s="2" t="s">
        <v>69</v>
      </c>
      <c r="AA7" s="2" t="s">
        <v>72</v>
      </c>
    </row>
    <row r="8" customFormat="false" ht="15.75" hidden="false" customHeight="false" outlineLevel="0" collapsed="false">
      <c r="A8" s="2"/>
      <c r="B8" s="2" t="s">
        <v>63</v>
      </c>
      <c r="C8" s="2" t="s">
        <v>81</v>
      </c>
      <c r="D8" s="2" t="s">
        <v>89</v>
      </c>
      <c r="E8" s="2" t="s">
        <v>69</v>
      </c>
      <c r="F8" s="2" t="s">
        <v>89</v>
      </c>
      <c r="G8" s="2"/>
      <c r="H8" s="2"/>
      <c r="I8" s="2" t="s">
        <v>81</v>
      </c>
      <c r="J8" s="2" t="s">
        <v>149</v>
      </c>
      <c r="K8" s="2" t="s">
        <v>89</v>
      </c>
      <c r="L8" s="2" t="s">
        <v>69</v>
      </c>
      <c r="M8" s="2" t="s">
        <v>63</v>
      </c>
      <c r="N8" s="2"/>
      <c r="O8" s="2"/>
      <c r="P8" s="2" t="s">
        <v>89</v>
      </c>
      <c r="Q8" s="2" t="s">
        <v>83</v>
      </c>
      <c r="R8" s="2" t="s">
        <v>89</v>
      </c>
      <c r="S8" s="2" t="s">
        <v>72</v>
      </c>
      <c r="T8" s="2" t="s">
        <v>89</v>
      </c>
      <c r="U8" s="2"/>
      <c r="V8" s="2"/>
      <c r="W8" s="2" t="s">
        <v>75</v>
      </c>
      <c r="X8" s="2" t="s">
        <v>96</v>
      </c>
      <c r="Y8" s="2" t="s">
        <v>81</v>
      </c>
      <c r="Z8" s="2" t="s">
        <v>96</v>
      </c>
      <c r="AA8" s="2" t="s">
        <v>96</v>
      </c>
    </row>
    <row r="9" customFormat="false" ht="15.75" hidden="false" customHeight="false" outlineLevel="0" collapsed="false">
      <c r="A9" s="2"/>
      <c r="B9" s="2" t="s">
        <v>78</v>
      </c>
      <c r="C9" s="2" t="s">
        <v>93</v>
      </c>
      <c r="D9" s="2" t="s">
        <v>66</v>
      </c>
      <c r="E9" s="2" t="s">
        <v>96</v>
      </c>
      <c r="F9" s="2" t="s">
        <v>83</v>
      </c>
      <c r="G9" s="2"/>
      <c r="H9" s="2"/>
      <c r="I9" s="2" t="s">
        <v>81</v>
      </c>
      <c r="J9" s="2" t="s">
        <v>83</v>
      </c>
      <c r="K9" s="2" t="s">
        <v>89</v>
      </c>
      <c r="L9" s="2" t="s">
        <v>69</v>
      </c>
      <c r="M9" s="2" t="s">
        <v>63</v>
      </c>
      <c r="N9" s="2"/>
      <c r="O9" s="2"/>
      <c r="P9" s="2" t="s">
        <v>96</v>
      </c>
      <c r="Q9" s="2" t="s">
        <v>72</v>
      </c>
      <c r="R9" s="2" t="s">
        <v>75</v>
      </c>
      <c r="S9" s="2" t="s">
        <v>78</v>
      </c>
      <c r="T9" s="2" t="s">
        <v>96</v>
      </c>
      <c r="U9" s="2"/>
      <c r="V9" s="2"/>
      <c r="W9" s="2" t="s">
        <v>75</v>
      </c>
      <c r="X9" s="2" t="s">
        <v>96</v>
      </c>
      <c r="Y9" s="2" t="s">
        <v>81</v>
      </c>
      <c r="Z9" s="2" t="s">
        <v>96</v>
      </c>
      <c r="AA9" s="2" t="s">
        <v>96</v>
      </c>
    </row>
    <row r="10" customFormat="false" ht="15.75" hidden="false" customHeight="false" outlineLevel="0" collapsed="false">
      <c r="A10" s="2"/>
      <c r="B10" s="2" t="s">
        <v>93</v>
      </c>
      <c r="C10" s="2" t="s">
        <v>96</v>
      </c>
      <c r="D10" s="2" t="s">
        <v>93</v>
      </c>
      <c r="E10" s="2" t="s">
        <v>75</v>
      </c>
      <c r="F10" s="2" t="s">
        <v>78</v>
      </c>
      <c r="G10" s="2"/>
      <c r="H10" s="2"/>
      <c r="I10" s="2" t="s">
        <v>83</v>
      </c>
      <c r="J10" s="2" t="s">
        <v>83</v>
      </c>
      <c r="K10" s="2" t="s">
        <v>63</v>
      </c>
      <c r="L10" s="2" t="s">
        <v>66</v>
      </c>
      <c r="M10" s="2" t="s">
        <v>78</v>
      </c>
      <c r="N10" s="2"/>
      <c r="O10" s="2"/>
      <c r="P10" s="2" t="s">
        <v>147</v>
      </c>
      <c r="Q10" s="2" t="s">
        <v>72</v>
      </c>
      <c r="R10" s="2" t="s">
        <v>147</v>
      </c>
      <c r="S10" s="2" t="s">
        <v>66</v>
      </c>
      <c r="T10" s="2" t="s">
        <v>147</v>
      </c>
      <c r="U10" s="2"/>
      <c r="V10" s="2"/>
      <c r="W10" s="2" t="s">
        <v>75</v>
      </c>
      <c r="X10" s="2" t="s">
        <v>96</v>
      </c>
      <c r="Y10" s="2" t="s">
        <v>81</v>
      </c>
      <c r="Z10" s="2" t="s">
        <v>96</v>
      </c>
      <c r="AA10" s="2" t="s">
        <v>96</v>
      </c>
    </row>
    <row r="11" customFormat="false" ht="15.75" hidden="false" customHeight="false" outlineLevel="0" collapsed="false">
      <c r="A11" s="2"/>
      <c r="B11" s="2" t="s">
        <v>63</v>
      </c>
      <c r="C11" s="2" t="s">
        <v>78</v>
      </c>
      <c r="D11" s="2" t="s">
        <v>69</v>
      </c>
      <c r="E11" s="2" t="s">
        <v>78</v>
      </c>
      <c r="F11" s="2" t="s">
        <v>96</v>
      </c>
      <c r="G11" s="2"/>
      <c r="H11" s="2"/>
      <c r="I11" s="2" t="s">
        <v>83</v>
      </c>
      <c r="J11" s="2" t="s">
        <v>78</v>
      </c>
      <c r="K11" s="2" t="s">
        <v>63</v>
      </c>
      <c r="L11" s="2" t="s">
        <v>66</v>
      </c>
      <c r="M11" s="2" t="s">
        <v>78</v>
      </c>
      <c r="N11" s="2"/>
      <c r="O11" s="2"/>
      <c r="P11" s="2" t="s">
        <v>96</v>
      </c>
      <c r="Q11" s="2" t="s">
        <v>78</v>
      </c>
      <c r="R11" s="2" t="s">
        <v>69</v>
      </c>
      <c r="S11" s="2" t="s">
        <v>83</v>
      </c>
      <c r="T11" s="2" t="s">
        <v>96</v>
      </c>
      <c r="U11" s="2"/>
      <c r="V11" s="2"/>
      <c r="W11" s="2" t="s">
        <v>83</v>
      </c>
      <c r="X11" s="2" t="s">
        <v>66</v>
      </c>
      <c r="Y11" s="2" t="s">
        <v>78</v>
      </c>
      <c r="Z11" s="2" t="s">
        <v>83</v>
      </c>
      <c r="AA11" s="2" t="s">
        <v>72</v>
      </c>
    </row>
    <row r="12" customFormat="false" ht="15.75" hidden="false" customHeight="false" outlineLevel="0" collapsed="false">
      <c r="A12" s="2"/>
      <c r="B12" s="2" t="s">
        <v>96</v>
      </c>
      <c r="C12" s="2" t="s">
        <v>72</v>
      </c>
      <c r="D12" s="2" t="s">
        <v>147</v>
      </c>
      <c r="E12" s="2" t="s">
        <v>66</v>
      </c>
      <c r="F12" s="2" t="s">
        <v>72</v>
      </c>
      <c r="G12" s="2"/>
      <c r="H12" s="2"/>
      <c r="I12" s="2" t="s">
        <v>83</v>
      </c>
      <c r="J12" s="2" t="s">
        <v>78</v>
      </c>
      <c r="K12" s="2" t="s">
        <v>63</v>
      </c>
      <c r="L12" s="2" t="s">
        <v>66</v>
      </c>
      <c r="M12" s="2" t="s">
        <v>78</v>
      </c>
      <c r="N12" s="2"/>
      <c r="O12" s="2"/>
      <c r="P12" s="2" t="s">
        <v>96</v>
      </c>
      <c r="Q12" s="2" t="s">
        <v>72</v>
      </c>
      <c r="R12" s="2" t="s">
        <v>96</v>
      </c>
      <c r="S12" s="2" t="s">
        <v>66</v>
      </c>
      <c r="T12" s="2" t="s">
        <v>81</v>
      </c>
      <c r="U12" s="2"/>
      <c r="V12" s="2"/>
      <c r="W12" s="2" t="s">
        <v>83</v>
      </c>
      <c r="X12" s="2" t="s">
        <v>66</v>
      </c>
      <c r="Y12" s="2" t="s">
        <v>78</v>
      </c>
      <c r="Z12" s="2" t="s">
        <v>83</v>
      </c>
      <c r="AA12" s="2" t="s">
        <v>72</v>
      </c>
    </row>
    <row r="13" customFormat="false" ht="15.75" hidden="false" customHeight="false" outlineLevel="0" collapsed="false">
      <c r="A13" s="2"/>
      <c r="B13" s="2" t="s">
        <v>93</v>
      </c>
      <c r="C13" s="2" t="s">
        <v>96</v>
      </c>
      <c r="D13" s="2" t="s">
        <v>75</v>
      </c>
      <c r="E13" s="2" t="s">
        <v>96</v>
      </c>
      <c r="F13" s="2" t="s">
        <v>89</v>
      </c>
      <c r="G13" s="2"/>
      <c r="H13" s="2"/>
      <c r="I13" s="2" t="s">
        <v>83</v>
      </c>
      <c r="J13" s="2" t="s">
        <v>78</v>
      </c>
      <c r="K13" s="2" t="s">
        <v>63</v>
      </c>
      <c r="L13" s="2" t="s">
        <v>66</v>
      </c>
      <c r="M13" s="2" t="s">
        <v>78</v>
      </c>
      <c r="N13" s="2"/>
      <c r="O13" s="2"/>
      <c r="P13" s="2" t="s">
        <v>75</v>
      </c>
      <c r="Q13" s="2" t="s">
        <v>83</v>
      </c>
      <c r="R13" s="2" t="s">
        <v>89</v>
      </c>
      <c r="S13" s="2" t="s">
        <v>78</v>
      </c>
      <c r="T13" s="2" t="s">
        <v>96</v>
      </c>
      <c r="U13" s="2"/>
      <c r="V13" s="2"/>
      <c r="W13" s="2" t="s">
        <v>83</v>
      </c>
      <c r="X13" s="2" t="s">
        <v>66</v>
      </c>
      <c r="Y13" s="2" t="s">
        <v>78</v>
      </c>
      <c r="Z13" s="2" t="s">
        <v>83</v>
      </c>
      <c r="AA13" s="2" t="s">
        <v>72</v>
      </c>
    </row>
    <row r="14" customFormat="false" ht="15.75" hidden="false" customHeight="false" outlineLevel="0" collapsed="false">
      <c r="A14" s="2"/>
      <c r="B14" s="2" t="s">
        <v>66</v>
      </c>
      <c r="C14" s="2" t="s">
        <v>72</v>
      </c>
      <c r="D14" s="2" t="s">
        <v>93</v>
      </c>
      <c r="E14" s="2" t="s">
        <v>75</v>
      </c>
      <c r="F14" s="2" t="s">
        <v>78</v>
      </c>
      <c r="G14" s="2"/>
      <c r="H14" s="2"/>
      <c r="I14" s="2" t="s">
        <v>78</v>
      </c>
      <c r="J14" s="2" t="s">
        <v>78</v>
      </c>
      <c r="K14" s="2" t="s">
        <v>63</v>
      </c>
      <c r="L14" s="2" t="s">
        <v>81</v>
      </c>
      <c r="M14" s="2" t="s">
        <v>89</v>
      </c>
      <c r="N14" s="2"/>
      <c r="O14" s="2"/>
      <c r="P14" s="2" t="s">
        <v>147</v>
      </c>
      <c r="Q14" s="2" t="s">
        <v>66</v>
      </c>
      <c r="R14" s="2" t="s">
        <v>147</v>
      </c>
      <c r="S14" s="2" t="s">
        <v>72</v>
      </c>
      <c r="T14" s="2" t="s">
        <v>147</v>
      </c>
      <c r="U14" s="2"/>
      <c r="V14" s="2"/>
      <c r="W14" s="2" t="s">
        <v>81</v>
      </c>
      <c r="X14" s="2" t="s">
        <v>83</v>
      </c>
      <c r="Y14" s="2" t="s">
        <v>72</v>
      </c>
      <c r="Z14" s="2" t="s">
        <v>78</v>
      </c>
      <c r="AA14" s="2" t="s">
        <v>96</v>
      </c>
    </row>
    <row r="15" customFormat="false" ht="15.75" hidden="false" customHeight="false" outlineLevel="0" collapsed="false">
      <c r="A15" s="2"/>
      <c r="B15" s="2" t="s">
        <v>93</v>
      </c>
      <c r="C15" s="2" t="s">
        <v>89</v>
      </c>
      <c r="D15" s="2" t="s">
        <v>63</v>
      </c>
      <c r="E15" s="2" t="s">
        <v>81</v>
      </c>
      <c r="F15" s="2" t="s">
        <v>89</v>
      </c>
      <c r="G15" s="2"/>
      <c r="H15" s="2"/>
      <c r="I15" s="2" t="s">
        <v>78</v>
      </c>
      <c r="J15" s="2" t="s">
        <v>69</v>
      </c>
      <c r="K15" s="2" t="s">
        <v>63</v>
      </c>
      <c r="L15" s="2" t="s">
        <v>81</v>
      </c>
      <c r="M15" s="2" t="s">
        <v>89</v>
      </c>
      <c r="N15" s="2"/>
      <c r="O15" s="2"/>
      <c r="P15" s="2" t="s">
        <v>75</v>
      </c>
      <c r="Q15" s="2" t="s">
        <v>78</v>
      </c>
      <c r="R15" s="2" t="s">
        <v>81</v>
      </c>
      <c r="S15" s="2" t="s">
        <v>83</v>
      </c>
      <c r="T15" s="2" t="s">
        <v>63</v>
      </c>
      <c r="U15" s="2"/>
      <c r="V15" s="2"/>
      <c r="W15" s="2" t="s">
        <v>81</v>
      </c>
      <c r="X15" s="2" t="s">
        <v>83</v>
      </c>
      <c r="Y15" s="2" t="s">
        <v>72</v>
      </c>
      <c r="Z15" s="2" t="s">
        <v>78</v>
      </c>
      <c r="AA15" s="2" t="s">
        <v>96</v>
      </c>
    </row>
    <row r="16" customFormat="false" ht="15.75" hidden="false" customHeight="false" outlineLevel="0" collapsed="false">
      <c r="A16" s="2"/>
      <c r="B16" s="2" t="s">
        <v>93</v>
      </c>
      <c r="C16" s="2" t="s">
        <v>75</v>
      </c>
      <c r="D16" s="2" t="s">
        <v>89</v>
      </c>
      <c r="E16" s="2" t="s">
        <v>83</v>
      </c>
      <c r="F16" s="2" t="s">
        <v>66</v>
      </c>
      <c r="G16" s="2"/>
      <c r="H16" s="2"/>
      <c r="I16" s="2" t="s">
        <v>78</v>
      </c>
      <c r="J16" s="2" t="s">
        <v>69</v>
      </c>
      <c r="K16" s="2" t="s">
        <v>63</v>
      </c>
      <c r="L16" s="2" t="s">
        <v>81</v>
      </c>
      <c r="M16" s="2" t="s">
        <v>89</v>
      </c>
      <c r="N16" s="2"/>
      <c r="O16" s="2"/>
      <c r="P16" s="2" t="s">
        <v>75</v>
      </c>
      <c r="Q16" s="2" t="s">
        <v>72</v>
      </c>
      <c r="R16" s="2" t="s">
        <v>96</v>
      </c>
      <c r="S16" s="2" t="s">
        <v>66</v>
      </c>
      <c r="T16" s="2" t="s">
        <v>63</v>
      </c>
      <c r="U16" s="2"/>
      <c r="V16" s="2"/>
      <c r="W16" s="2" t="s">
        <v>81</v>
      </c>
      <c r="X16" s="2" t="s">
        <v>83</v>
      </c>
      <c r="Y16" s="2" t="s">
        <v>72</v>
      </c>
      <c r="Z16" s="2" t="s">
        <v>78</v>
      </c>
      <c r="AA16" s="2" t="s">
        <v>96</v>
      </c>
    </row>
    <row r="17" customFormat="false" ht="15.75" hidden="false" customHeight="false" outlineLevel="0" collapsed="false">
      <c r="A17" s="2"/>
      <c r="B17" s="2" t="s">
        <v>78</v>
      </c>
      <c r="C17" s="2" t="s">
        <v>89</v>
      </c>
      <c r="D17" s="2" t="s">
        <v>78</v>
      </c>
      <c r="E17" s="2" t="s">
        <v>72</v>
      </c>
      <c r="F17" s="2" t="s">
        <v>66</v>
      </c>
      <c r="G17" s="2"/>
      <c r="H17" s="2"/>
      <c r="I17" s="2" t="s">
        <v>78</v>
      </c>
      <c r="J17" s="2" t="s">
        <v>69</v>
      </c>
      <c r="K17" s="2" t="s">
        <v>63</v>
      </c>
      <c r="L17" s="2" t="s">
        <v>81</v>
      </c>
      <c r="M17" s="2" t="s">
        <v>89</v>
      </c>
      <c r="N17" s="2"/>
      <c r="O17" s="2"/>
      <c r="P17" s="2" t="s">
        <v>96</v>
      </c>
      <c r="Q17" s="2" t="s">
        <v>66</v>
      </c>
      <c r="R17" s="2" t="s">
        <v>63</v>
      </c>
      <c r="S17" s="2" t="s">
        <v>78</v>
      </c>
      <c r="T17" s="2" t="s">
        <v>96</v>
      </c>
      <c r="U17" s="2"/>
      <c r="V17" s="2"/>
      <c r="W17" s="2" t="s">
        <v>63</v>
      </c>
      <c r="X17" s="2" t="s">
        <v>69</v>
      </c>
      <c r="Y17" s="2" t="s">
        <v>75</v>
      </c>
      <c r="Z17" s="2" t="s">
        <v>83</v>
      </c>
      <c r="AA17" s="2" t="s">
        <v>66</v>
      </c>
    </row>
    <row r="18" customFormat="false" ht="15.75" hidden="false" customHeight="false" outlineLevel="0" collapsed="false">
      <c r="A18" s="2"/>
      <c r="B18" s="2" t="s">
        <v>75</v>
      </c>
      <c r="C18" s="2" t="s">
        <v>72</v>
      </c>
      <c r="D18" s="2" t="s">
        <v>147</v>
      </c>
      <c r="E18" s="2" t="s">
        <v>78</v>
      </c>
      <c r="F18" s="2" t="s">
        <v>147</v>
      </c>
      <c r="G18" s="2"/>
      <c r="H18" s="2"/>
      <c r="I18" s="2" t="s">
        <v>72</v>
      </c>
      <c r="J18" s="2" t="s">
        <v>69</v>
      </c>
      <c r="K18" s="2" t="s">
        <v>81</v>
      </c>
      <c r="L18" s="2" t="s">
        <v>93</v>
      </c>
      <c r="M18" s="2" t="s">
        <v>89</v>
      </c>
      <c r="N18" s="2"/>
      <c r="O18" s="2"/>
      <c r="P18" s="2" t="s">
        <v>147</v>
      </c>
      <c r="Q18" s="2" t="s">
        <v>83</v>
      </c>
      <c r="R18" s="2" t="s">
        <v>147</v>
      </c>
      <c r="S18" s="2" t="s">
        <v>72</v>
      </c>
      <c r="T18" s="2" t="s">
        <v>147</v>
      </c>
      <c r="U18" s="2"/>
      <c r="V18" s="2"/>
      <c r="W18" s="2" t="s">
        <v>63</v>
      </c>
      <c r="X18" s="2" t="s">
        <v>69</v>
      </c>
      <c r="Y18" s="2" t="s">
        <v>75</v>
      </c>
      <c r="Z18" s="2" t="s">
        <v>83</v>
      </c>
      <c r="AA18" s="2" t="s">
        <v>66</v>
      </c>
    </row>
    <row r="19" customFormat="false" ht="15.75" hidden="false" customHeight="false" outlineLevel="0" collapsed="false">
      <c r="A19" s="2"/>
      <c r="B19" s="2" t="s">
        <v>72</v>
      </c>
      <c r="C19" s="2" t="s">
        <v>96</v>
      </c>
      <c r="D19" s="2" t="s">
        <v>96</v>
      </c>
      <c r="E19" s="2" t="s">
        <v>83</v>
      </c>
      <c r="F19" s="2" t="s">
        <v>69</v>
      </c>
      <c r="G19" s="2"/>
      <c r="H19" s="2"/>
      <c r="I19" s="2" t="s">
        <v>72</v>
      </c>
      <c r="J19" s="2" t="s">
        <v>93</v>
      </c>
      <c r="K19" s="2" t="s">
        <v>81</v>
      </c>
      <c r="L19" s="2" t="s">
        <v>93</v>
      </c>
      <c r="M19" s="2" t="s">
        <v>89</v>
      </c>
      <c r="N19" s="2"/>
      <c r="O19" s="2"/>
      <c r="P19" s="2" t="s">
        <v>81</v>
      </c>
      <c r="Q19" s="2" t="s">
        <v>72</v>
      </c>
      <c r="R19" s="2" t="s">
        <v>69</v>
      </c>
      <c r="S19" s="2" t="s">
        <v>83</v>
      </c>
      <c r="T19" s="2" t="s">
        <v>75</v>
      </c>
      <c r="U19" s="2"/>
      <c r="V19" s="2"/>
      <c r="W19" s="2" t="s">
        <v>63</v>
      </c>
      <c r="X19" s="2" t="s">
        <v>69</v>
      </c>
      <c r="Y19" s="2" t="s">
        <v>75</v>
      </c>
      <c r="Z19" s="2" t="s">
        <v>83</v>
      </c>
      <c r="AA19" s="2" t="s">
        <v>66</v>
      </c>
    </row>
    <row r="20" customFormat="false" ht="15.75" hidden="false" customHeight="false" outlineLevel="0" collapsed="false">
      <c r="A20" s="2"/>
      <c r="B20" s="2" t="s">
        <v>93</v>
      </c>
      <c r="C20" s="2" t="s">
        <v>66</v>
      </c>
      <c r="D20" s="2" t="s">
        <v>75</v>
      </c>
      <c r="E20" s="2" t="s">
        <v>81</v>
      </c>
      <c r="F20" s="2" t="s">
        <v>81</v>
      </c>
      <c r="G20" s="2"/>
      <c r="H20" s="2"/>
      <c r="I20" s="2" t="s">
        <v>72</v>
      </c>
      <c r="J20" s="2" t="s">
        <v>93</v>
      </c>
      <c r="K20" s="2" t="s">
        <v>81</v>
      </c>
      <c r="L20" s="2" t="s">
        <v>93</v>
      </c>
      <c r="M20" s="2" t="s">
        <v>89</v>
      </c>
      <c r="N20" s="2"/>
      <c r="O20" s="2"/>
      <c r="P20" s="2" t="s">
        <v>69</v>
      </c>
      <c r="Q20" s="2" t="s">
        <v>93</v>
      </c>
      <c r="R20" s="2" t="s">
        <v>69</v>
      </c>
      <c r="S20" s="2" t="s">
        <v>83</v>
      </c>
      <c r="T20" s="2" t="s">
        <v>96</v>
      </c>
      <c r="U20" s="2"/>
      <c r="V20" s="2"/>
      <c r="W20" s="2" t="s">
        <v>72</v>
      </c>
      <c r="X20" s="2" t="s">
        <v>75</v>
      </c>
      <c r="Y20" s="2" t="s">
        <v>89</v>
      </c>
      <c r="Z20" s="2" t="s">
        <v>81</v>
      </c>
      <c r="AA20" s="2" t="s">
        <v>89</v>
      </c>
    </row>
    <row r="21" customFormat="false" ht="15.75" hidden="false" customHeight="false" outlineLevel="0" collapsed="false">
      <c r="A21" s="2"/>
      <c r="B21" s="2" t="s">
        <v>83</v>
      </c>
      <c r="C21" s="2" t="s">
        <v>75</v>
      </c>
      <c r="D21" s="2" t="s">
        <v>93</v>
      </c>
      <c r="E21" s="2" t="s">
        <v>96</v>
      </c>
      <c r="F21" s="2" t="s">
        <v>83</v>
      </c>
      <c r="G21" s="2"/>
      <c r="H21" s="2"/>
      <c r="I21" s="2" t="s">
        <v>72</v>
      </c>
      <c r="J21" s="2" t="s">
        <v>93</v>
      </c>
      <c r="K21" s="2" t="s">
        <v>81</v>
      </c>
      <c r="L21" s="2" t="s">
        <v>93</v>
      </c>
      <c r="M21" s="2" t="s">
        <v>89</v>
      </c>
      <c r="N21" s="2"/>
      <c r="O21" s="2"/>
      <c r="P21" s="2" t="s">
        <v>69</v>
      </c>
      <c r="Q21" s="2" t="s">
        <v>72</v>
      </c>
      <c r="R21" s="2" t="s">
        <v>69</v>
      </c>
      <c r="S21" s="2" t="s">
        <v>93</v>
      </c>
      <c r="T21" s="2" t="s">
        <v>75</v>
      </c>
      <c r="U21" s="2"/>
      <c r="V21" s="2"/>
      <c r="W21" s="2" t="s">
        <v>72</v>
      </c>
      <c r="X21" s="2" t="s">
        <v>75</v>
      </c>
      <c r="Y21" s="2" t="s">
        <v>89</v>
      </c>
      <c r="Z21" s="2" t="s">
        <v>81</v>
      </c>
      <c r="AA21" s="2" t="s">
        <v>89</v>
      </c>
    </row>
    <row r="22" customFormat="false" ht="15.75" hidden="false" customHeight="false" outlineLevel="0" collapsed="false">
      <c r="A22" s="2"/>
      <c r="B22" s="2" t="s">
        <v>72</v>
      </c>
      <c r="C22" s="2" t="s">
        <v>69</v>
      </c>
      <c r="D22" s="2" t="s">
        <v>83</v>
      </c>
      <c r="E22" s="2" t="s">
        <v>149</v>
      </c>
      <c r="F22" s="2" t="s">
        <v>75</v>
      </c>
      <c r="G22" s="2"/>
      <c r="H22" s="2"/>
      <c r="I22" s="2" t="s">
        <v>81</v>
      </c>
      <c r="J22" s="2" t="s">
        <v>93</v>
      </c>
      <c r="K22" s="2" t="s">
        <v>89</v>
      </c>
      <c r="L22" s="2" t="s">
        <v>96</v>
      </c>
      <c r="M22" s="2" t="s">
        <v>81</v>
      </c>
      <c r="N22" s="2"/>
      <c r="O22" s="2"/>
      <c r="P22" s="2" t="s">
        <v>147</v>
      </c>
      <c r="Q22" s="2" t="s">
        <v>83</v>
      </c>
      <c r="R22" s="2" t="s">
        <v>147</v>
      </c>
      <c r="S22" s="2" t="s">
        <v>83</v>
      </c>
      <c r="T22" s="2" t="s">
        <v>147</v>
      </c>
      <c r="U22" s="2"/>
      <c r="V22" s="2"/>
      <c r="W22" s="2" t="s">
        <v>72</v>
      </c>
      <c r="X22" s="2" t="s">
        <v>75</v>
      </c>
      <c r="Y22" s="2" t="s">
        <v>89</v>
      </c>
      <c r="Z22" s="2" t="s">
        <v>81</v>
      </c>
      <c r="AA22" s="2" t="s">
        <v>89</v>
      </c>
    </row>
    <row r="23" customFormat="false" ht="15.75" hidden="false" customHeight="false" outlineLevel="0" collapsed="false">
      <c r="A23" s="2"/>
      <c r="B23" s="2" t="s">
        <v>89</v>
      </c>
      <c r="C23" s="2" t="s">
        <v>78</v>
      </c>
      <c r="D23" s="2" t="s">
        <v>83</v>
      </c>
      <c r="E23" s="2" t="s">
        <v>83</v>
      </c>
      <c r="F23" s="2" t="s">
        <v>66</v>
      </c>
      <c r="G23" s="2"/>
      <c r="H23" s="2"/>
      <c r="I23" s="2" t="s">
        <v>81</v>
      </c>
      <c r="J23" s="2" t="s">
        <v>72</v>
      </c>
      <c r="K23" s="2" t="s">
        <v>89</v>
      </c>
      <c r="L23" s="2" t="s">
        <v>96</v>
      </c>
      <c r="M23" s="2" t="s">
        <v>81</v>
      </c>
      <c r="N23" s="2"/>
      <c r="O23" s="2"/>
      <c r="P23" s="2" t="s">
        <v>96</v>
      </c>
      <c r="Q23" s="2" t="s">
        <v>78</v>
      </c>
      <c r="R23" s="2" t="s">
        <v>63</v>
      </c>
      <c r="S23" s="2" t="s">
        <v>78</v>
      </c>
      <c r="T23" s="2" t="s">
        <v>63</v>
      </c>
      <c r="U23" s="2"/>
      <c r="V23" s="2"/>
      <c r="W23" s="2" t="s">
        <v>75</v>
      </c>
      <c r="X23" s="2" t="s">
        <v>63</v>
      </c>
      <c r="Y23" s="2" t="s">
        <v>63</v>
      </c>
      <c r="Z23" s="2" t="s">
        <v>69</v>
      </c>
      <c r="AA23" s="2" t="s">
        <v>75</v>
      </c>
    </row>
    <row r="24" customFormat="false" ht="15.75" hidden="false" customHeight="false" outlineLevel="0" collapsed="false">
      <c r="A24" s="2"/>
      <c r="B24" s="2" t="s">
        <v>78</v>
      </c>
      <c r="C24" s="2" t="s">
        <v>89</v>
      </c>
      <c r="D24" s="2" t="s">
        <v>81</v>
      </c>
      <c r="E24" s="2" t="s">
        <v>81</v>
      </c>
      <c r="F24" s="2" t="s">
        <v>78</v>
      </c>
      <c r="G24" s="2"/>
      <c r="H24" s="2"/>
      <c r="I24" s="2" t="s">
        <v>81</v>
      </c>
      <c r="J24" s="2" t="s">
        <v>72</v>
      </c>
      <c r="K24" s="2" t="s">
        <v>89</v>
      </c>
      <c r="L24" s="2" t="s">
        <v>96</v>
      </c>
      <c r="M24" s="2" t="s">
        <v>81</v>
      </c>
      <c r="N24" s="2"/>
      <c r="O24" s="2"/>
      <c r="P24" s="2" t="s">
        <v>81</v>
      </c>
      <c r="Q24" s="2" t="s">
        <v>93</v>
      </c>
      <c r="R24" s="2" t="s">
        <v>81</v>
      </c>
      <c r="S24" s="2" t="s">
        <v>78</v>
      </c>
      <c r="T24" s="2" t="s">
        <v>63</v>
      </c>
      <c r="U24" s="2"/>
      <c r="V24" s="2"/>
      <c r="W24" s="2" t="s">
        <v>75</v>
      </c>
      <c r="X24" s="2" t="s">
        <v>63</v>
      </c>
      <c r="Y24" s="2" t="s">
        <v>63</v>
      </c>
      <c r="Z24" s="2" t="s">
        <v>69</v>
      </c>
      <c r="AA24" s="2" t="s">
        <v>75</v>
      </c>
    </row>
    <row r="25" customFormat="false" ht="15.75" hidden="false" customHeight="false" outlineLevel="0" collapsed="false">
      <c r="A25" s="2"/>
      <c r="B25" s="2" t="s">
        <v>96</v>
      </c>
      <c r="C25" s="2" t="s">
        <v>93</v>
      </c>
      <c r="D25" s="2" t="s">
        <v>69</v>
      </c>
      <c r="E25" s="2" t="s">
        <v>69</v>
      </c>
      <c r="F25" s="2" t="s">
        <v>78</v>
      </c>
      <c r="G25" s="2"/>
      <c r="H25" s="2"/>
      <c r="I25" s="2" t="s">
        <v>81</v>
      </c>
      <c r="J25" s="2" t="s">
        <v>72</v>
      </c>
      <c r="K25" s="2" t="s">
        <v>89</v>
      </c>
      <c r="L25" s="2" t="s">
        <v>96</v>
      </c>
      <c r="M25" s="2" t="s">
        <v>81</v>
      </c>
      <c r="N25" s="2"/>
      <c r="O25" s="2"/>
      <c r="P25" s="2" t="s">
        <v>89</v>
      </c>
      <c r="Q25" s="2" t="s">
        <v>83</v>
      </c>
      <c r="R25" s="2" t="s">
        <v>89</v>
      </c>
      <c r="S25" s="2" t="s">
        <v>72</v>
      </c>
      <c r="T25" s="2" t="s">
        <v>96</v>
      </c>
      <c r="U25" s="2"/>
      <c r="V25" s="2"/>
      <c r="W25" s="2" t="s">
        <v>75</v>
      </c>
      <c r="X25" s="2" t="s">
        <v>63</v>
      </c>
      <c r="Y25" s="2" t="s">
        <v>63</v>
      </c>
      <c r="Z25" s="2" t="s">
        <v>69</v>
      </c>
      <c r="AA25" s="2" t="s">
        <v>75</v>
      </c>
    </row>
    <row r="26" customFormat="false" ht="15.75" hidden="false" customHeight="false" outlineLevel="0" collapsed="false">
      <c r="A26" s="2"/>
      <c r="B26" s="2" t="s">
        <v>83</v>
      </c>
      <c r="C26" s="2" t="s">
        <v>93</v>
      </c>
      <c r="D26" s="2" t="s">
        <v>147</v>
      </c>
      <c r="E26" s="2" t="s">
        <v>83</v>
      </c>
      <c r="F26" s="2" t="s">
        <v>93</v>
      </c>
      <c r="G26" s="2"/>
      <c r="H26" s="2"/>
      <c r="I26" s="2" t="s">
        <v>75</v>
      </c>
      <c r="J26" s="2" t="s">
        <v>72</v>
      </c>
      <c r="K26" s="2" t="s">
        <v>78</v>
      </c>
      <c r="L26" s="2" t="s">
        <v>81</v>
      </c>
      <c r="M26" s="2" t="s">
        <v>89</v>
      </c>
      <c r="N26" s="2"/>
      <c r="O26" s="2"/>
      <c r="P26" s="2" t="s">
        <v>147</v>
      </c>
      <c r="Q26" s="2" t="s">
        <v>83</v>
      </c>
      <c r="R26" s="2" t="s">
        <v>147</v>
      </c>
      <c r="S26" s="2" t="s">
        <v>93</v>
      </c>
      <c r="T26" s="2" t="s">
        <v>147</v>
      </c>
      <c r="U26" s="2"/>
      <c r="V26" s="2"/>
      <c r="W26" s="2" t="s">
        <v>96</v>
      </c>
      <c r="X26" s="2" t="s">
        <v>93</v>
      </c>
      <c r="Y26" s="2" t="s">
        <v>93</v>
      </c>
      <c r="Z26" s="2" t="s">
        <v>63</v>
      </c>
      <c r="AA26" s="2" t="s">
        <v>81</v>
      </c>
    </row>
    <row r="27" customFormat="false" ht="15.75" hidden="false" customHeight="false" outlineLevel="0" collapsed="false">
      <c r="A27" s="2"/>
      <c r="B27" s="2" t="s">
        <v>147</v>
      </c>
      <c r="C27" s="2" t="s">
        <v>96</v>
      </c>
      <c r="D27" s="2" t="s">
        <v>72</v>
      </c>
      <c r="E27" s="2" t="s">
        <v>81</v>
      </c>
      <c r="F27" s="2" t="s">
        <v>72</v>
      </c>
      <c r="G27" s="2"/>
      <c r="H27" s="2"/>
      <c r="I27" s="2" t="s">
        <v>75</v>
      </c>
      <c r="J27" s="2" t="s">
        <v>83</v>
      </c>
      <c r="K27" s="2" t="s">
        <v>78</v>
      </c>
      <c r="L27" s="2" t="s">
        <v>81</v>
      </c>
      <c r="M27" s="2" t="s">
        <v>89</v>
      </c>
      <c r="N27" s="2"/>
      <c r="O27" s="2"/>
      <c r="P27" s="2" t="s">
        <v>96</v>
      </c>
      <c r="Q27" s="2" t="s">
        <v>78</v>
      </c>
      <c r="R27" s="2" t="s">
        <v>96</v>
      </c>
      <c r="S27" s="2" t="s">
        <v>78</v>
      </c>
      <c r="T27" s="2" t="s">
        <v>69</v>
      </c>
      <c r="U27" s="2"/>
      <c r="V27" s="2"/>
      <c r="W27" s="2" t="s">
        <v>96</v>
      </c>
      <c r="X27" s="2" t="s">
        <v>93</v>
      </c>
      <c r="Y27" s="2" t="s">
        <v>93</v>
      </c>
      <c r="Z27" s="2" t="s">
        <v>63</v>
      </c>
      <c r="AA27" s="2" t="s">
        <v>81</v>
      </c>
    </row>
    <row r="28" customFormat="false" ht="15.75" hidden="false" customHeight="false" outlineLevel="0" collapsed="false">
      <c r="A28" s="2"/>
      <c r="B28" s="2" t="s">
        <v>75</v>
      </c>
      <c r="C28" s="2" t="s">
        <v>81</v>
      </c>
      <c r="D28" s="2" t="s">
        <v>72</v>
      </c>
      <c r="E28" s="2" t="s">
        <v>81</v>
      </c>
      <c r="F28" s="2" t="s">
        <v>78</v>
      </c>
      <c r="G28" s="2"/>
      <c r="H28" s="2"/>
      <c r="I28" s="2" t="s">
        <v>75</v>
      </c>
      <c r="J28" s="2" t="s">
        <v>83</v>
      </c>
      <c r="K28" s="2" t="s">
        <v>78</v>
      </c>
      <c r="L28" s="2" t="s">
        <v>81</v>
      </c>
      <c r="M28" s="2" t="s">
        <v>89</v>
      </c>
      <c r="N28" s="2"/>
      <c r="O28" s="2"/>
      <c r="P28" s="2" t="s">
        <v>89</v>
      </c>
      <c r="Q28" s="2" t="s">
        <v>83</v>
      </c>
      <c r="R28" s="2" t="s">
        <v>63</v>
      </c>
      <c r="S28" s="2" t="s">
        <v>72</v>
      </c>
      <c r="T28" s="2" t="s">
        <v>96</v>
      </c>
      <c r="U28" s="2"/>
      <c r="V28" s="2"/>
      <c r="W28" s="2" t="s">
        <v>96</v>
      </c>
      <c r="X28" s="2" t="s">
        <v>93</v>
      </c>
      <c r="Y28" s="2" t="s">
        <v>93</v>
      </c>
      <c r="Z28" s="2" t="s">
        <v>63</v>
      </c>
      <c r="AA28" s="2" t="s">
        <v>81</v>
      </c>
    </row>
    <row r="29" customFormat="false" ht="15.75" hidden="false" customHeight="false" outlineLevel="0" collapsed="false">
      <c r="A29" s="2"/>
      <c r="B29" s="2" t="s">
        <v>66</v>
      </c>
      <c r="C29" s="2" t="s">
        <v>63</v>
      </c>
      <c r="D29" s="2" t="s">
        <v>89</v>
      </c>
      <c r="E29" s="2" t="s">
        <v>89</v>
      </c>
      <c r="F29" s="2" t="s">
        <v>66</v>
      </c>
      <c r="G29" s="2"/>
      <c r="H29" s="2"/>
      <c r="I29" s="2" t="s">
        <v>75</v>
      </c>
      <c r="J29" s="2" t="s">
        <v>66</v>
      </c>
      <c r="K29" s="2" t="s">
        <v>78</v>
      </c>
      <c r="L29" s="2" t="s">
        <v>81</v>
      </c>
      <c r="M29" s="2" t="s">
        <v>89</v>
      </c>
      <c r="N29" s="2"/>
      <c r="O29" s="2"/>
      <c r="P29" s="2" t="s">
        <v>75</v>
      </c>
      <c r="Q29" s="2" t="s">
        <v>93</v>
      </c>
      <c r="R29" s="2" t="s">
        <v>69</v>
      </c>
      <c r="S29" s="2" t="s">
        <v>72</v>
      </c>
      <c r="T29" s="2" t="s">
        <v>75</v>
      </c>
      <c r="U29" s="2"/>
      <c r="V29" s="2"/>
      <c r="W29" s="2" t="s">
        <v>69</v>
      </c>
      <c r="X29" s="2" t="s">
        <v>78</v>
      </c>
      <c r="Y29" s="2" t="s">
        <v>81</v>
      </c>
      <c r="Z29" s="2" t="s">
        <v>72</v>
      </c>
      <c r="AA29" s="2" t="s">
        <v>83</v>
      </c>
    </row>
    <row r="30" customFormat="false" ht="15.75" hidden="false" customHeight="false" outlineLevel="0" collapsed="false">
      <c r="A30" s="2"/>
      <c r="B30" s="2" t="s">
        <v>81</v>
      </c>
      <c r="C30" s="2" t="s">
        <v>81</v>
      </c>
      <c r="D30" s="2" t="s">
        <v>69</v>
      </c>
      <c r="E30" s="2" t="s">
        <v>69</v>
      </c>
      <c r="F30" s="2" t="s">
        <v>89</v>
      </c>
      <c r="G30" s="2"/>
      <c r="H30" s="2"/>
      <c r="I30" s="2" t="s">
        <v>81</v>
      </c>
      <c r="J30" s="2" t="s">
        <v>66</v>
      </c>
      <c r="K30" s="2" t="s">
        <v>93</v>
      </c>
      <c r="L30" s="2" t="s">
        <v>75</v>
      </c>
      <c r="M30" s="2" t="s">
        <v>93</v>
      </c>
      <c r="N30" s="2"/>
      <c r="O30" s="2"/>
      <c r="P30" s="2" t="s">
        <v>147</v>
      </c>
      <c r="Q30" s="2" t="s">
        <v>93</v>
      </c>
      <c r="R30" s="2" t="s">
        <v>147</v>
      </c>
      <c r="S30" s="2" t="s">
        <v>93</v>
      </c>
      <c r="T30" s="2" t="s">
        <v>147</v>
      </c>
      <c r="U30" s="2"/>
      <c r="V30" s="2"/>
      <c r="W30" s="2" t="s">
        <v>69</v>
      </c>
      <c r="X30" s="2" t="s">
        <v>78</v>
      </c>
      <c r="Y30" s="2" t="s">
        <v>81</v>
      </c>
      <c r="Z30" s="2" t="s">
        <v>72</v>
      </c>
      <c r="AA30" s="2" t="s">
        <v>83</v>
      </c>
    </row>
    <row r="31" customFormat="false" ht="15.75" hidden="false" customHeight="false" outlineLevel="0" collapsed="false">
      <c r="A31" s="2"/>
      <c r="B31" s="2" t="s">
        <v>96</v>
      </c>
      <c r="C31" s="2" t="s">
        <v>66</v>
      </c>
      <c r="D31" s="2" t="s">
        <v>93</v>
      </c>
      <c r="E31" s="2" t="s">
        <v>89</v>
      </c>
      <c r="F31" s="2" t="s">
        <v>69</v>
      </c>
      <c r="G31" s="2"/>
      <c r="H31" s="2"/>
      <c r="I31" s="2" t="s">
        <v>81</v>
      </c>
      <c r="J31" s="2" t="s">
        <v>66</v>
      </c>
      <c r="K31" s="2" t="s">
        <v>93</v>
      </c>
      <c r="L31" s="2" t="s">
        <v>75</v>
      </c>
      <c r="M31" s="2" t="s">
        <v>93</v>
      </c>
      <c r="N31" s="2"/>
      <c r="O31" s="2"/>
      <c r="P31" s="2" t="s">
        <v>75</v>
      </c>
      <c r="Q31" s="2" t="s">
        <v>93</v>
      </c>
      <c r="R31" s="2" t="s">
        <v>75</v>
      </c>
      <c r="S31" s="2" t="s">
        <v>93</v>
      </c>
      <c r="T31" s="2" t="s">
        <v>81</v>
      </c>
      <c r="U31" s="2"/>
      <c r="V31" s="2"/>
      <c r="W31" s="2" t="s">
        <v>69</v>
      </c>
      <c r="X31" s="2" t="s">
        <v>78</v>
      </c>
      <c r="Y31" s="2" t="s">
        <v>81</v>
      </c>
      <c r="Z31" s="2" t="s">
        <v>72</v>
      </c>
      <c r="AA31" s="2" t="s">
        <v>83</v>
      </c>
    </row>
    <row r="32" customFormat="false" ht="15.75" hidden="false" customHeight="false" outlineLevel="0" collapsed="false">
      <c r="A32" s="2"/>
      <c r="B32" s="2" t="s">
        <v>93</v>
      </c>
      <c r="C32" s="2" t="s">
        <v>83</v>
      </c>
      <c r="D32" s="2" t="s">
        <v>78</v>
      </c>
      <c r="E32" s="2" t="s">
        <v>63</v>
      </c>
      <c r="F32" s="2" t="s">
        <v>83</v>
      </c>
      <c r="G32" s="2"/>
      <c r="H32" s="2"/>
      <c r="I32" s="2" t="s">
        <v>81</v>
      </c>
      <c r="J32" s="2" t="s">
        <v>66</v>
      </c>
      <c r="K32" s="2" t="s">
        <v>93</v>
      </c>
      <c r="L32" s="2" t="s">
        <v>149</v>
      </c>
      <c r="M32" s="2" t="s">
        <v>93</v>
      </c>
      <c r="N32" s="2"/>
      <c r="O32" s="2"/>
      <c r="P32" s="2" t="s">
        <v>75</v>
      </c>
      <c r="Q32" s="2" t="s">
        <v>78</v>
      </c>
      <c r="R32" s="2" t="s">
        <v>81</v>
      </c>
      <c r="S32" s="2" t="s">
        <v>83</v>
      </c>
      <c r="T32" s="2" t="s">
        <v>75</v>
      </c>
      <c r="U32" s="2"/>
      <c r="V32" s="2"/>
      <c r="W32" s="2" t="s">
        <v>93</v>
      </c>
      <c r="X32" s="2" t="s">
        <v>96</v>
      </c>
      <c r="Y32" s="2" t="s">
        <v>78</v>
      </c>
      <c r="Z32" s="2" t="s">
        <v>89</v>
      </c>
      <c r="AA32" s="2" t="s">
        <v>63</v>
      </c>
    </row>
    <row r="33" customFormat="false" ht="15.75" hidden="false" customHeight="false" outlineLevel="0" collapsed="false">
      <c r="A33" s="2"/>
      <c r="B33" s="2" t="s">
        <v>89</v>
      </c>
      <c r="C33" s="2" t="s">
        <v>75</v>
      </c>
      <c r="D33" s="2" t="s">
        <v>89</v>
      </c>
      <c r="E33" s="2" t="s">
        <v>75</v>
      </c>
      <c r="F33" s="2" t="s">
        <v>96</v>
      </c>
      <c r="G33" s="2"/>
      <c r="H33" s="2"/>
      <c r="I33" s="2" t="s">
        <v>81</v>
      </c>
      <c r="J33" s="2" t="s">
        <v>81</v>
      </c>
      <c r="K33" s="2" t="s">
        <v>93</v>
      </c>
      <c r="L33" s="2" t="s">
        <v>75</v>
      </c>
      <c r="M33" s="2" t="s">
        <v>93</v>
      </c>
      <c r="N33" s="2"/>
      <c r="O33" s="2"/>
      <c r="P33" s="2" t="s">
        <v>75</v>
      </c>
      <c r="Q33" s="2" t="s">
        <v>93</v>
      </c>
      <c r="R33" s="2" t="s">
        <v>63</v>
      </c>
      <c r="S33" s="2" t="s">
        <v>72</v>
      </c>
      <c r="T33" s="2" t="s">
        <v>96</v>
      </c>
      <c r="U33" s="2"/>
      <c r="V33" s="2"/>
      <c r="W33" s="2" t="s">
        <v>93</v>
      </c>
      <c r="X33" s="2" t="s">
        <v>96</v>
      </c>
      <c r="Y33" s="2" t="s">
        <v>78</v>
      </c>
      <c r="Z33" s="2" t="s">
        <v>89</v>
      </c>
      <c r="AA33" s="2" t="s">
        <v>63</v>
      </c>
    </row>
    <row r="34" customFormat="false" ht="15.75" hidden="false" customHeight="false" outlineLevel="0" collapsed="false">
      <c r="A34" s="2"/>
      <c r="B34" s="2" t="s">
        <v>69</v>
      </c>
      <c r="C34" s="2" t="s">
        <v>89</v>
      </c>
      <c r="D34" s="2" t="s">
        <v>72</v>
      </c>
      <c r="E34" s="2" t="s">
        <v>69</v>
      </c>
      <c r="F34" s="2" t="s">
        <v>93</v>
      </c>
      <c r="G34" s="2"/>
      <c r="H34" s="2"/>
      <c r="I34" s="2" t="s">
        <v>78</v>
      </c>
      <c r="J34" s="2" t="s">
        <v>81</v>
      </c>
      <c r="K34" s="2" t="s">
        <v>93</v>
      </c>
      <c r="L34" s="2" t="s">
        <v>75</v>
      </c>
      <c r="M34" s="2" t="s">
        <v>93</v>
      </c>
      <c r="N34" s="2"/>
      <c r="O34" s="2"/>
      <c r="P34" s="2" t="s">
        <v>147</v>
      </c>
      <c r="Q34" s="2" t="s">
        <v>83</v>
      </c>
      <c r="R34" s="2" t="s">
        <v>147</v>
      </c>
      <c r="S34" s="2" t="s">
        <v>78</v>
      </c>
      <c r="T34" s="2" t="s">
        <v>147</v>
      </c>
      <c r="U34" s="2"/>
      <c r="V34" s="2"/>
      <c r="W34" s="2" t="s">
        <v>93</v>
      </c>
      <c r="X34" s="2" t="s">
        <v>96</v>
      </c>
      <c r="Y34" s="2" t="s">
        <v>78</v>
      </c>
      <c r="Z34" s="2" t="s">
        <v>89</v>
      </c>
      <c r="AA34" s="2" t="s">
        <v>63</v>
      </c>
    </row>
    <row r="35" customFormat="false" ht="15.75" hidden="false" customHeight="false" outlineLevel="0" collapsed="false">
      <c r="A35" s="2"/>
      <c r="B35" s="2" t="s">
        <v>147</v>
      </c>
      <c r="C35" s="2" t="s">
        <v>81</v>
      </c>
      <c r="D35" s="2" t="s">
        <v>75</v>
      </c>
      <c r="E35" s="2" t="s">
        <v>72</v>
      </c>
      <c r="F35" s="2" t="s">
        <v>81</v>
      </c>
      <c r="G35" s="2"/>
      <c r="H35" s="2"/>
      <c r="I35" s="2" t="s">
        <v>78</v>
      </c>
      <c r="J35" s="2" t="s">
        <v>149</v>
      </c>
      <c r="K35" s="2" t="s">
        <v>93</v>
      </c>
      <c r="L35" s="2" t="s">
        <v>83</v>
      </c>
      <c r="M35" s="2" t="s">
        <v>93</v>
      </c>
      <c r="N35" s="2"/>
      <c r="O35" s="2"/>
      <c r="P35" s="2" t="s">
        <v>63</v>
      </c>
      <c r="Q35" s="2" t="s">
        <v>66</v>
      </c>
      <c r="R35" s="2" t="s">
        <v>63</v>
      </c>
      <c r="S35" s="2" t="s">
        <v>78</v>
      </c>
      <c r="T35" s="2" t="s">
        <v>63</v>
      </c>
      <c r="U35" s="2"/>
      <c r="V35" s="2"/>
      <c r="W35" s="2" t="s">
        <v>72</v>
      </c>
      <c r="X35" s="2" t="s">
        <v>89</v>
      </c>
      <c r="Y35" s="2" t="s">
        <v>66</v>
      </c>
      <c r="Z35" s="2" t="s">
        <v>93</v>
      </c>
      <c r="AA35" s="2" t="s">
        <v>69</v>
      </c>
    </row>
    <row r="36" customFormat="false" ht="15.75" hidden="false" customHeight="false" outlineLevel="0" collapsed="false">
      <c r="A36" s="2"/>
      <c r="B36" s="2" t="s">
        <v>81</v>
      </c>
      <c r="C36" s="2" t="s">
        <v>81</v>
      </c>
      <c r="D36" s="2" t="s">
        <v>66</v>
      </c>
      <c r="E36" s="2" t="s">
        <v>83</v>
      </c>
      <c r="F36" s="2" t="s">
        <v>69</v>
      </c>
      <c r="G36" s="2"/>
      <c r="H36" s="2"/>
      <c r="I36" s="2" t="s">
        <v>78</v>
      </c>
      <c r="J36" s="2" t="s">
        <v>81</v>
      </c>
      <c r="K36" s="2" t="s">
        <v>93</v>
      </c>
      <c r="L36" s="2" t="s">
        <v>83</v>
      </c>
      <c r="M36" s="2" t="s">
        <v>96</v>
      </c>
      <c r="N36" s="2"/>
      <c r="O36" s="2"/>
      <c r="P36" s="2" t="s">
        <v>69</v>
      </c>
      <c r="Q36" s="2" t="s">
        <v>66</v>
      </c>
      <c r="R36" s="2" t="s">
        <v>81</v>
      </c>
      <c r="S36" s="2" t="s">
        <v>66</v>
      </c>
      <c r="T36" s="2" t="s">
        <v>63</v>
      </c>
      <c r="U36" s="2"/>
      <c r="V36" s="2"/>
      <c r="W36" s="2" t="s">
        <v>72</v>
      </c>
      <c r="X36" s="2" t="s">
        <v>89</v>
      </c>
      <c r="Y36" s="2" t="s">
        <v>66</v>
      </c>
      <c r="Z36" s="2" t="s">
        <v>93</v>
      </c>
      <c r="AA36" s="2" t="s">
        <v>69</v>
      </c>
    </row>
    <row r="37" customFormat="false" ht="15.75" hidden="false" customHeight="false" outlineLevel="0" collapsed="false">
      <c r="A37" s="2"/>
      <c r="B37" s="2" t="s">
        <v>66</v>
      </c>
      <c r="C37" s="2" t="s">
        <v>149</v>
      </c>
      <c r="D37" s="2" t="s">
        <v>89</v>
      </c>
      <c r="E37" s="2" t="s">
        <v>69</v>
      </c>
      <c r="F37" s="2" t="s">
        <v>83</v>
      </c>
      <c r="G37" s="2"/>
      <c r="H37" s="2"/>
      <c r="I37" s="2" t="s">
        <v>78</v>
      </c>
      <c r="J37" s="2" t="s">
        <v>81</v>
      </c>
      <c r="K37" s="2" t="s">
        <v>93</v>
      </c>
      <c r="L37" s="2" t="s">
        <v>83</v>
      </c>
      <c r="M37" s="2" t="s">
        <v>96</v>
      </c>
      <c r="N37" s="2"/>
      <c r="O37" s="2"/>
      <c r="P37" s="2" t="s">
        <v>89</v>
      </c>
      <c r="Q37" s="2" t="s">
        <v>66</v>
      </c>
      <c r="R37" s="2" t="s">
        <v>75</v>
      </c>
      <c r="S37" s="2" t="s">
        <v>78</v>
      </c>
      <c r="T37" s="2" t="s">
        <v>63</v>
      </c>
      <c r="U37" s="2"/>
      <c r="V37" s="2"/>
      <c r="W37" s="2" t="s">
        <v>72</v>
      </c>
      <c r="X37" s="2" t="s">
        <v>89</v>
      </c>
      <c r="Y37" s="2" t="s">
        <v>66</v>
      </c>
      <c r="Z37" s="2" t="s">
        <v>93</v>
      </c>
      <c r="AA37" s="2" t="s">
        <v>69</v>
      </c>
    </row>
    <row r="38" customFormat="false" ht="15.75" hidden="false" customHeight="false" outlineLevel="0" collapsed="false">
      <c r="A38" s="2"/>
      <c r="B38" s="2" t="s">
        <v>63</v>
      </c>
      <c r="C38" s="2" t="s">
        <v>93</v>
      </c>
      <c r="D38" s="2" t="s">
        <v>81</v>
      </c>
      <c r="E38" s="2" t="s">
        <v>78</v>
      </c>
      <c r="F38" s="2" t="s">
        <v>72</v>
      </c>
      <c r="G38" s="2"/>
      <c r="H38" s="2"/>
      <c r="I38" s="2" t="s">
        <v>83</v>
      </c>
      <c r="J38" s="2" t="s">
        <v>83</v>
      </c>
      <c r="K38" s="2" t="s">
        <v>66</v>
      </c>
      <c r="L38" s="2" t="s">
        <v>83</v>
      </c>
      <c r="M38" s="2" t="s">
        <v>96</v>
      </c>
      <c r="N38" s="2"/>
      <c r="O38" s="2"/>
      <c r="P38" s="2" t="s">
        <v>147</v>
      </c>
      <c r="Q38" s="2" t="s">
        <v>78</v>
      </c>
      <c r="R38" s="2" t="s">
        <v>147</v>
      </c>
      <c r="S38" s="2" t="s">
        <v>83</v>
      </c>
      <c r="T38" s="2" t="s">
        <v>147</v>
      </c>
      <c r="U38" s="2"/>
      <c r="V38" s="2"/>
      <c r="W38" s="2" t="s">
        <v>89</v>
      </c>
      <c r="X38" s="2" t="s">
        <v>81</v>
      </c>
      <c r="Y38" s="2" t="s">
        <v>96</v>
      </c>
      <c r="Z38" s="2" t="s">
        <v>66</v>
      </c>
      <c r="AA38" s="2" t="s">
        <v>89</v>
      </c>
    </row>
    <row r="39" customFormat="false" ht="15.75" hidden="false" customHeight="false" outlineLevel="0" collapsed="false">
      <c r="A39" s="2"/>
      <c r="B39" s="2" t="s">
        <v>83</v>
      </c>
      <c r="C39" s="2" t="s">
        <v>66</v>
      </c>
      <c r="D39" s="2" t="s">
        <v>66</v>
      </c>
      <c r="E39" s="2" t="s">
        <v>78</v>
      </c>
      <c r="F39" s="2" t="s">
        <v>93</v>
      </c>
      <c r="G39" s="2"/>
      <c r="H39" s="2"/>
      <c r="I39" s="2" t="s">
        <v>83</v>
      </c>
      <c r="J39" s="2" t="s">
        <v>83</v>
      </c>
      <c r="K39" s="2" t="s">
        <v>66</v>
      </c>
      <c r="L39" s="2" t="s">
        <v>93</v>
      </c>
      <c r="M39" s="2" t="s">
        <v>96</v>
      </c>
      <c r="N39" s="2"/>
      <c r="O39" s="2"/>
      <c r="P39" s="2" t="s">
        <v>69</v>
      </c>
      <c r="Q39" s="2" t="s">
        <v>66</v>
      </c>
      <c r="R39" s="2" t="s">
        <v>81</v>
      </c>
      <c r="S39" s="2" t="s">
        <v>66</v>
      </c>
      <c r="T39" s="2" t="s">
        <v>96</v>
      </c>
      <c r="U39" s="2"/>
      <c r="V39" s="2"/>
      <c r="W39" s="2" t="s">
        <v>89</v>
      </c>
      <c r="X39" s="2" t="s">
        <v>81</v>
      </c>
      <c r="Y39" s="2" t="s">
        <v>96</v>
      </c>
      <c r="Z39" s="2" t="s">
        <v>66</v>
      </c>
      <c r="AA39" s="2" t="s">
        <v>89</v>
      </c>
    </row>
    <row r="40" customFormat="false" ht="15.75" hidden="false" customHeight="false" outlineLevel="0" collapsed="false">
      <c r="A40" s="2"/>
      <c r="B40" s="2" t="s">
        <v>75</v>
      </c>
      <c r="C40" s="2" t="s">
        <v>66</v>
      </c>
      <c r="D40" s="2" t="s">
        <v>93</v>
      </c>
      <c r="E40" s="2" t="s">
        <v>72</v>
      </c>
      <c r="F40" s="2" t="s">
        <v>89</v>
      </c>
      <c r="G40" s="2"/>
      <c r="H40" s="2"/>
      <c r="I40" s="2" t="s">
        <v>83</v>
      </c>
      <c r="J40" s="2" t="s">
        <v>83</v>
      </c>
      <c r="K40" s="2" t="s">
        <v>66</v>
      </c>
      <c r="L40" s="2" t="s">
        <v>93</v>
      </c>
      <c r="M40" s="2" t="s">
        <v>66</v>
      </c>
      <c r="N40" s="2"/>
      <c r="O40" s="2"/>
      <c r="P40" s="2" t="s">
        <v>75</v>
      </c>
      <c r="Q40" s="2" t="s">
        <v>93</v>
      </c>
      <c r="R40" s="2" t="s">
        <v>96</v>
      </c>
      <c r="S40" s="2" t="s">
        <v>93</v>
      </c>
      <c r="T40" s="2" t="s">
        <v>89</v>
      </c>
      <c r="U40" s="2"/>
      <c r="V40" s="2"/>
      <c r="W40" s="2" t="s">
        <v>89</v>
      </c>
      <c r="X40" s="2" t="s">
        <v>81</v>
      </c>
      <c r="Y40" s="2" t="s">
        <v>96</v>
      </c>
      <c r="Z40" s="2" t="s">
        <v>66</v>
      </c>
      <c r="AA40" s="2" t="s">
        <v>89</v>
      </c>
    </row>
    <row r="41" customFormat="false" ht="15.75" hidden="false" customHeight="false" outlineLevel="0" collapsed="false">
      <c r="A41" s="2"/>
      <c r="B41" s="2" t="s">
        <v>93</v>
      </c>
      <c r="C41" s="2" t="s">
        <v>75</v>
      </c>
      <c r="D41" s="2" t="s">
        <v>81</v>
      </c>
      <c r="E41" s="2" t="s">
        <v>72</v>
      </c>
      <c r="F41" s="2" t="s">
        <v>83</v>
      </c>
      <c r="G41" s="2"/>
      <c r="H41" s="2"/>
      <c r="I41" s="2" t="s">
        <v>83</v>
      </c>
      <c r="J41" s="2" t="s">
        <v>83</v>
      </c>
      <c r="K41" s="2" t="s">
        <v>66</v>
      </c>
      <c r="L41" s="2" t="s">
        <v>93</v>
      </c>
      <c r="M41" s="2" t="s">
        <v>66</v>
      </c>
      <c r="N41" s="2"/>
      <c r="O41" s="2"/>
      <c r="P41" s="2" t="s">
        <v>89</v>
      </c>
      <c r="Q41" s="2" t="s">
        <v>66</v>
      </c>
      <c r="R41" s="2" t="s">
        <v>63</v>
      </c>
      <c r="S41" s="2" t="s">
        <v>83</v>
      </c>
      <c r="T41" s="2" t="s">
        <v>69</v>
      </c>
      <c r="U41" s="2"/>
      <c r="V41" s="2"/>
      <c r="W41" s="2" t="s">
        <v>66</v>
      </c>
      <c r="X41" s="2" t="s">
        <v>66</v>
      </c>
      <c r="Y41" s="2" t="s">
        <v>63</v>
      </c>
      <c r="Z41" s="2" t="s">
        <v>63</v>
      </c>
      <c r="AA41" s="2" t="s">
        <v>63</v>
      </c>
    </row>
    <row r="42" customFormat="false" ht="15.75" hidden="false" customHeight="false" outlineLevel="0" collapsed="false">
      <c r="A42" s="2"/>
      <c r="B42" s="2" t="s">
        <v>96</v>
      </c>
      <c r="C42" s="2" t="s">
        <v>69</v>
      </c>
      <c r="D42" s="2" t="s">
        <v>93</v>
      </c>
      <c r="E42" s="2" t="s">
        <v>149</v>
      </c>
      <c r="F42" s="2" t="s">
        <v>83</v>
      </c>
      <c r="G42" s="2"/>
      <c r="H42" s="2"/>
      <c r="I42" s="2" t="s">
        <v>75</v>
      </c>
      <c r="J42" s="2" t="s">
        <v>81</v>
      </c>
      <c r="K42" s="2" t="s">
        <v>83</v>
      </c>
      <c r="L42" s="2" t="s">
        <v>93</v>
      </c>
      <c r="M42" s="2" t="s">
        <v>66</v>
      </c>
      <c r="N42" s="2"/>
      <c r="O42" s="2"/>
      <c r="P42" s="2" t="s">
        <v>147</v>
      </c>
      <c r="Q42" s="2" t="s">
        <v>93</v>
      </c>
      <c r="R42" s="2" t="s">
        <v>147</v>
      </c>
      <c r="S42" s="2" t="s">
        <v>66</v>
      </c>
      <c r="T42" s="2" t="s">
        <v>147</v>
      </c>
      <c r="U42" s="2"/>
      <c r="V42" s="2"/>
      <c r="W42" s="2" t="s">
        <v>66</v>
      </c>
      <c r="X42" s="2" t="s">
        <v>66</v>
      </c>
      <c r="Y42" s="2" t="s">
        <v>63</v>
      </c>
      <c r="Z42" s="2" t="s">
        <v>63</v>
      </c>
      <c r="AA42" s="2" t="s">
        <v>63</v>
      </c>
    </row>
    <row r="43" customFormat="false" ht="15.75" hidden="false" customHeight="false" outlineLevel="0" collapsed="false">
      <c r="A43" s="2"/>
      <c r="B43" s="2" t="s">
        <v>69</v>
      </c>
      <c r="C43" s="2" t="s">
        <v>83</v>
      </c>
      <c r="D43" s="2" t="s">
        <v>83</v>
      </c>
      <c r="E43" s="2" t="s">
        <v>83</v>
      </c>
      <c r="F43" s="2" t="s">
        <v>89</v>
      </c>
      <c r="G43" s="2"/>
      <c r="H43" s="2"/>
      <c r="I43" s="2" t="s">
        <v>75</v>
      </c>
      <c r="J43" s="2" t="s">
        <v>81</v>
      </c>
      <c r="K43" s="2" t="s">
        <v>83</v>
      </c>
      <c r="L43" s="2" t="s">
        <v>78</v>
      </c>
      <c r="M43" s="2" t="s">
        <v>66</v>
      </c>
      <c r="N43" s="2"/>
      <c r="O43" s="2"/>
      <c r="P43" s="2" t="s">
        <v>89</v>
      </c>
      <c r="Q43" s="2" t="s">
        <v>72</v>
      </c>
      <c r="R43" s="2" t="s">
        <v>96</v>
      </c>
      <c r="S43" s="2" t="s">
        <v>78</v>
      </c>
      <c r="T43" s="2" t="s">
        <v>69</v>
      </c>
      <c r="U43" s="2"/>
      <c r="V43" s="2"/>
      <c r="W43" s="2" t="s">
        <v>66</v>
      </c>
      <c r="X43" s="2" t="s">
        <v>66</v>
      </c>
      <c r="Y43" s="2" t="s">
        <v>63</v>
      </c>
      <c r="Z43" s="2" t="s">
        <v>63</v>
      </c>
      <c r="AA43" s="2" t="s">
        <v>63</v>
      </c>
    </row>
    <row r="44" customFormat="false" ht="15.75" hidden="false" customHeight="false" outlineLevel="0" collapsed="false">
      <c r="A44" s="2"/>
      <c r="B44" s="2" t="s">
        <v>96</v>
      </c>
      <c r="C44" s="2" t="s">
        <v>93</v>
      </c>
      <c r="D44" s="2" t="s">
        <v>93</v>
      </c>
      <c r="E44" s="2" t="s">
        <v>66</v>
      </c>
      <c r="F44" s="2" t="s">
        <v>89</v>
      </c>
      <c r="G44" s="2"/>
      <c r="H44" s="2"/>
      <c r="I44" s="2" t="s">
        <v>75</v>
      </c>
      <c r="J44" s="2" t="s">
        <v>81</v>
      </c>
      <c r="K44" s="2" t="s">
        <v>75</v>
      </c>
      <c r="L44" s="2" t="s">
        <v>78</v>
      </c>
      <c r="M44" s="2" t="s">
        <v>63</v>
      </c>
      <c r="N44" s="2"/>
      <c r="O44" s="2"/>
      <c r="P44" s="2" t="s">
        <v>89</v>
      </c>
      <c r="Q44" s="2" t="s">
        <v>78</v>
      </c>
      <c r="R44" s="2" t="s">
        <v>75</v>
      </c>
      <c r="S44" s="2" t="s">
        <v>93</v>
      </c>
      <c r="T44" s="2" t="s">
        <v>75</v>
      </c>
      <c r="U44" s="2"/>
      <c r="V44" s="2"/>
      <c r="W44" s="2" t="s">
        <v>93</v>
      </c>
      <c r="X44" s="2" t="s">
        <v>72</v>
      </c>
      <c r="Y44" s="2" t="s">
        <v>83</v>
      </c>
      <c r="Z44" s="2" t="s">
        <v>66</v>
      </c>
      <c r="AA44" s="2" t="s">
        <v>78</v>
      </c>
    </row>
    <row r="45" customFormat="false" ht="15.75" hidden="false" customHeight="false" outlineLevel="0" collapsed="false">
      <c r="A45" s="2"/>
      <c r="B45" s="2" t="s">
        <v>96</v>
      </c>
      <c r="C45" s="2" t="s">
        <v>72</v>
      </c>
      <c r="D45" s="2" t="s">
        <v>63</v>
      </c>
      <c r="E45" s="2" t="s">
        <v>83</v>
      </c>
      <c r="F45" s="2" t="s">
        <v>78</v>
      </c>
      <c r="G45" s="2"/>
      <c r="H45" s="2"/>
      <c r="I45" s="2" t="s">
        <v>75</v>
      </c>
      <c r="J45" s="2" t="s">
        <v>81</v>
      </c>
      <c r="K45" s="2" t="s">
        <v>75</v>
      </c>
      <c r="L45" s="2" t="s">
        <v>78</v>
      </c>
      <c r="M45" s="2" t="s">
        <v>78</v>
      </c>
      <c r="N45" s="2"/>
      <c r="O45" s="2"/>
      <c r="P45" s="2" t="s">
        <v>96</v>
      </c>
      <c r="Q45" s="2" t="s">
        <v>72</v>
      </c>
      <c r="R45" s="2" t="s">
        <v>69</v>
      </c>
      <c r="S45" s="2" t="s">
        <v>66</v>
      </c>
      <c r="T45" s="2" t="s">
        <v>63</v>
      </c>
      <c r="U45" s="2"/>
      <c r="V45" s="2"/>
      <c r="W45" s="2" t="s">
        <v>93</v>
      </c>
      <c r="X45" s="2" t="s">
        <v>72</v>
      </c>
      <c r="Y45" s="2" t="s">
        <v>83</v>
      </c>
      <c r="Z45" s="2" t="s">
        <v>66</v>
      </c>
      <c r="AA45" s="2" t="s">
        <v>78</v>
      </c>
    </row>
    <row r="46" customFormat="false" ht="15.75" hidden="false" customHeight="false" outlineLevel="0" collapsed="false">
      <c r="A46" s="2"/>
      <c r="B46" s="2" t="s">
        <v>69</v>
      </c>
      <c r="C46" s="2" t="s">
        <v>89</v>
      </c>
      <c r="D46" s="2" t="s">
        <v>93</v>
      </c>
      <c r="E46" s="2" t="s">
        <v>89</v>
      </c>
      <c r="F46" s="2" t="s">
        <v>69</v>
      </c>
      <c r="G46" s="2"/>
      <c r="H46" s="2"/>
      <c r="I46" s="2" t="s">
        <v>93</v>
      </c>
      <c r="J46" s="2" t="s">
        <v>81</v>
      </c>
      <c r="K46" s="2" t="s">
        <v>75</v>
      </c>
      <c r="L46" s="2" t="s">
        <v>78</v>
      </c>
      <c r="M46" s="2" t="s">
        <v>78</v>
      </c>
      <c r="N46" s="2"/>
      <c r="O46" s="2"/>
      <c r="P46" s="2" t="s">
        <v>147</v>
      </c>
      <c r="Q46" s="2" t="s">
        <v>72</v>
      </c>
      <c r="R46" s="2" t="s">
        <v>147</v>
      </c>
      <c r="S46" s="2" t="s">
        <v>93</v>
      </c>
      <c r="T46" s="2" t="s">
        <v>147</v>
      </c>
      <c r="U46" s="2"/>
      <c r="V46" s="2"/>
      <c r="W46" s="2" t="s">
        <v>93</v>
      </c>
      <c r="X46" s="2" t="s">
        <v>72</v>
      </c>
      <c r="Y46" s="2" t="s">
        <v>83</v>
      </c>
      <c r="Z46" s="2" t="s">
        <v>66</v>
      </c>
      <c r="AA46" s="2" t="s">
        <v>78</v>
      </c>
    </row>
    <row r="47" customFormat="false" ht="15.75" hidden="false" customHeight="false" outlineLevel="0" collapsed="false">
      <c r="A47" s="2"/>
      <c r="B47" s="2" t="s">
        <v>63</v>
      </c>
      <c r="C47" s="2" t="s">
        <v>75</v>
      </c>
      <c r="D47" s="2" t="s">
        <v>63</v>
      </c>
      <c r="E47" s="2" t="s">
        <v>75</v>
      </c>
      <c r="F47" s="2" t="s">
        <v>75</v>
      </c>
      <c r="G47" s="2"/>
      <c r="H47" s="2"/>
      <c r="I47" s="2" t="s">
        <v>93</v>
      </c>
      <c r="J47" s="2" t="s">
        <v>81</v>
      </c>
      <c r="K47" s="2" t="s">
        <v>75</v>
      </c>
      <c r="L47" s="2" t="s">
        <v>89</v>
      </c>
      <c r="M47" s="2" t="s">
        <v>78</v>
      </c>
      <c r="N47" s="2"/>
      <c r="O47" s="2"/>
      <c r="P47" s="2" t="s">
        <v>69</v>
      </c>
      <c r="Q47" s="2" t="s">
        <v>72</v>
      </c>
      <c r="R47" s="2" t="s">
        <v>96</v>
      </c>
      <c r="S47" s="2" t="s">
        <v>66</v>
      </c>
      <c r="T47" s="2" t="s">
        <v>69</v>
      </c>
      <c r="U47" s="2"/>
      <c r="V47" s="2"/>
      <c r="W47" s="2" t="s">
        <v>66</v>
      </c>
      <c r="X47" s="2" t="s">
        <v>75</v>
      </c>
      <c r="Y47" s="2" t="s">
        <v>93</v>
      </c>
      <c r="Z47" s="2" t="s">
        <v>75</v>
      </c>
      <c r="AA47" s="2" t="s">
        <v>83</v>
      </c>
    </row>
    <row r="48" customFormat="false" ht="15.75" hidden="false" customHeight="false" outlineLevel="0" collapsed="false">
      <c r="A48" s="2"/>
      <c r="B48" s="2" t="s">
        <v>75</v>
      </c>
      <c r="C48" s="2" t="s">
        <v>78</v>
      </c>
      <c r="D48" s="2" t="s">
        <v>83</v>
      </c>
      <c r="E48" s="2" t="s">
        <v>149</v>
      </c>
      <c r="F48" s="2" t="s">
        <v>93</v>
      </c>
      <c r="G48" s="2"/>
      <c r="H48" s="2"/>
      <c r="I48" s="2" t="s">
        <v>93</v>
      </c>
      <c r="J48" s="2" t="s">
        <v>81</v>
      </c>
      <c r="K48" s="2" t="s">
        <v>75</v>
      </c>
      <c r="L48" s="2" t="s">
        <v>89</v>
      </c>
      <c r="M48" s="2" t="s">
        <v>78</v>
      </c>
      <c r="N48" s="2"/>
      <c r="O48" s="2"/>
      <c r="P48" s="2" t="s">
        <v>81</v>
      </c>
      <c r="Q48" s="2" t="s">
        <v>93</v>
      </c>
      <c r="R48" s="2" t="s">
        <v>69</v>
      </c>
      <c r="S48" s="2" t="s">
        <v>66</v>
      </c>
      <c r="T48" s="2" t="s">
        <v>81</v>
      </c>
      <c r="U48" s="2"/>
      <c r="V48" s="2"/>
      <c r="W48" s="2" t="s">
        <v>66</v>
      </c>
      <c r="X48" s="2" t="s">
        <v>75</v>
      </c>
      <c r="Y48" s="2" t="s">
        <v>93</v>
      </c>
      <c r="Z48" s="2" t="s">
        <v>75</v>
      </c>
      <c r="AA48" s="2" t="s">
        <v>83</v>
      </c>
    </row>
    <row r="49" customFormat="false" ht="15.75" hidden="false" customHeight="false" outlineLevel="0" collapsed="false">
      <c r="A49" s="2"/>
      <c r="B49" s="2" t="s">
        <v>75</v>
      </c>
      <c r="C49" s="2" t="s">
        <v>63</v>
      </c>
      <c r="D49" s="2" t="s">
        <v>149</v>
      </c>
      <c r="E49" s="2" t="s">
        <v>81</v>
      </c>
      <c r="F49" s="2" t="s">
        <v>72</v>
      </c>
      <c r="G49" s="2"/>
      <c r="H49" s="2"/>
      <c r="I49" s="2" t="s">
        <v>93</v>
      </c>
      <c r="J49" s="2" t="s">
        <v>81</v>
      </c>
      <c r="K49" s="2" t="s">
        <v>75</v>
      </c>
      <c r="L49" s="2" t="s">
        <v>89</v>
      </c>
      <c r="M49" s="2" t="s">
        <v>81</v>
      </c>
      <c r="N49" s="2"/>
      <c r="O49" s="2"/>
      <c r="P49" s="2" t="s">
        <v>89</v>
      </c>
      <c r="Q49" s="2" t="s">
        <v>78</v>
      </c>
      <c r="R49" s="2" t="s">
        <v>75</v>
      </c>
      <c r="S49" s="2" t="s">
        <v>93</v>
      </c>
      <c r="T49" s="2" t="s">
        <v>63</v>
      </c>
      <c r="U49" s="2"/>
      <c r="V49" s="2"/>
      <c r="W49" s="2" t="s">
        <v>66</v>
      </c>
      <c r="X49" s="2" t="s">
        <v>75</v>
      </c>
      <c r="Y49" s="2" t="s">
        <v>93</v>
      </c>
      <c r="Z49" s="2" t="s">
        <v>75</v>
      </c>
      <c r="AA49" s="2" t="s">
        <v>83</v>
      </c>
    </row>
    <row r="50" customFormat="false" ht="15.75" hidden="false" customHeight="false" outlineLevel="0" collapsed="false">
      <c r="A50" s="2"/>
      <c r="B50" s="2" t="s">
        <v>63</v>
      </c>
      <c r="C50" s="2" t="s">
        <v>66</v>
      </c>
      <c r="D50" s="2" t="s">
        <v>81</v>
      </c>
      <c r="E50" s="2" t="s">
        <v>66</v>
      </c>
      <c r="F50" s="2" t="s">
        <v>78</v>
      </c>
      <c r="G50" s="2"/>
      <c r="H50" s="2"/>
      <c r="I50" s="2" t="s">
        <v>66</v>
      </c>
      <c r="J50" s="2" t="s">
        <v>75</v>
      </c>
      <c r="K50" s="2" t="s">
        <v>75</v>
      </c>
      <c r="L50" s="2" t="s">
        <v>89</v>
      </c>
      <c r="M50" s="2" t="s">
        <v>81</v>
      </c>
      <c r="N50" s="2"/>
      <c r="O50" s="2"/>
      <c r="P50" s="2" t="s">
        <v>147</v>
      </c>
      <c r="Q50" s="2" t="s">
        <v>93</v>
      </c>
      <c r="R50" s="2" t="s">
        <v>147</v>
      </c>
      <c r="S50" s="2" t="s">
        <v>93</v>
      </c>
      <c r="T50" s="2" t="s">
        <v>147</v>
      </c>
      <c r="U50" s="2"/>
      <c r="V50" s="2"/>
      <c r="W50" s="2" t="s">
        <v>81</v>
      </c>
      <c r="X50" s="2" t="s">
        <v>78</v>
      </c>
      <c r="Y50" s="2" t="s">
        <v>89</v>
      </c>
      <c r="Z50" s="2" t="s">
        <v>93</v>
      </c>
      <c r="AA50" s="2" t="s">
        <v>75</v>
      </c>
    </row>
    <row r="51" customFormat="false" ht="15.75" hidden="false" customHeight="false" outlineLevel="0" collapsed="false">
      <c r="A51" s="2"/>
      <c r="B51" s="2" t="s">
        <v>72</v>
      </c>
      <c r="C51" s="2" t="s">
        <v>93</v>
      </c>
      <c r="D51" s="2" t="s">
        <v>83</v>
      </c>
      <c r="E51" s="2" t="s">
        <v>96</v>
      </c>
      <c r="F51" s="2" t="s">
        <v>83</v>
      </c>
      <c r="G51" s="2"/>
      <c r="H51" s="2"/>
      <c r="I51" s="2" t="s">
        <v>66</v>
      </c>
      <c r="J51" s="2" t="s">
        <v>75</v>
      </c>
      <c r="K51" s="2" t="s">
        <v>75</v>
      </c>
      <c r="L51" s="2" t="s">
        <v>81</v>
      </c>
      <c r="M51" s="2" t="s">
        <v>81</v>
      </c>
      <c r="N51" s="2"/>
      <c r="O51" s="2"/>
      <c r="P51" s="2" t="s">
        <v>69</v>
      </c>
      <c r="Q51" s="2" t="s">
        <v>93</v>
      </c>
      <c r="R51" s="2" t="s">
        <v>81</v>
      </c>
      <c r="S51" s="2" t="s">
        <v>93</v>
      </c>
      <c r="T51" s="2" t="s">
        <v>96</v>
      </c>
      <c r="U51" s="2"/>
      <c r="V51" s="2"/>
      <c r="W51" s="2" t="s">
        <v>81</v>
      </c>
      <c r="X51" s="2" t="s">
        <v>78</v>
      </c>
      <c r="Y51" s="2" t="s">
        <v>89</v>
      </c>
      <c r="Z51" s="2" t="s">
        <v>93</v>
      </c>
      <c r="AA51" s="2" t="s">
        <v>75</v>
      </c>
    </row>
    <row r="52" customFormat="false" ht="15.75" hidden="false" customHeight="false" outlineLevel="0" collapsed="false">
      <c r="A52" s="2"/>
      <c r="B52" s="2" t="s">
        <v>93</v>
      </c>
      <c r="C52" s="2" t="s">
        <v>66</v>
      </c>
      <c r="D52" s="2" t="s">
        <v>66</v>
      </c>
      <c r="E52" s="2" t="s">
        <v>83</v>
      </c>
      <c r="F52" s="2" t="s">
        <v>72</v>
      </c>
      <c r="G52" s="2"/>
      <c r="H52" s="2"/>
      <c r="I52" s="2" t="s">
        <v>66</v>
      </c>
      <c r="J52" s="2" t="s">
        <v>75</v>
      </c>
      <c r="K52" s="2" t="s">
        <v>96</v>
      </c>
      <c r="L52" s="2" t="s">
        <v>81</v>
      </c>
      <c r="M52" s="2" t="s">
        <v>81</v>
      </c>
      <c r="N52" s="2"/>
      <c r="O52" s="2"/>
      <c r="P52" s="2" t="s">
        <v>81</v>
      </c>
      <c r="Q52" s="2" t="s">
        <v>66</v>
      </c>
      <c r="R52" s="2" t="s">
        <v>89</v>
      </c>
      <c r="S52" s="2" t="s">
        <v>93</v>
      </c>
      <c r="T52" s="2" t="s">
        <v>89</v>
      </c>
      <c r="U52" s="2"/>
      <c r="V52" s="2"/>
      <c r="W52" s="2" t="s">
        <v>81</v>
      </c>
      <c r="X52" s="2" t="s">
        <v>78</v>
      </c>
      <c r="Y52" s="2" t="s">
        <v>89</v>
      </c>
      <c r="Z52" s="2" t="s">
        <v>93</v>
      </c>
      <c r="AA52" s="2" t="s">
        <v>75</v>
      </c>
    </row>
    <row r="53" customFormat="false" ht="15.75" hidden="false" customHeight="false" outlineLevel="0" collapsed="false">
      <c r="A53" s="2"/>
      <c r="B53" s="2" t="s">
        <v>81</v>
      </c>
      <c r="C53" s="2" t="s">
        <v>69</v>
      </c>
      <c r="D53" s="2" t="s">
        <v>147</v>
      </c>
      <c r="E53" s="2" t="s">
        <v>96</v>
      </c>
      <c r="F53" s="2" t="s">
        <v>72</v>
      </c>
      <c r="G53" s="2"/>
      <c r="H53" s="2"/>
      <c r="I53" s="2" t="s">
        <v>66</v>
      </c>
      <c r="J53" s="2" t="s">
        <v>75</v>
      </c>
      <c r="K53" s="2" t="s">
        <v>96</v>
      </c>
      <c r="L53" s="2" t="s">
        <v>81</v>
      </c>
      <c r="M53" s="2" t="s">
        <v>96</v>
      </c>
      <c r="N53" s="2"/>
      <c r="O53" s="2"/>
      <c r="P53" s="2" t="s">
        <v>75</v>
      </c>
      <c r="Q53" s="2" t="s">
        <v>83</v>
      </c>
      <c r="R53" s="2" t="s">
        <v>89</v>
      </c>
      <c r="S53" s="2" t="s">
        <v>93</v>
      </c>
      <c r="T53" s="2" t="s">
        <v>89</v>
      </c>
      <c r="U53" s="2"/>
      <c r="V53" s="2"/>
      <c r="W53" s="2" t="s">
        <v>78</v>
      </c>
      <c r="X53" s="2" t="s">
        <v>93</v>
      </c>
      <c r="Y53" s="2" t="s">
        <v>66</v>
      </c>
      <c r="Z53" s="2" t="s">
        <v>78</v>
      </c>
      <c r="AA53" s="2" t="s">
        <v>93</v>
      </c>
    </row>
    <row r="54" customFormat="false" ht="15.75" hidden="false" customHeight="false" outlineLevel="0" collapsed="false">
      <c r="A54" s="2"/>
      <c r="B54" s="2" t="s">
        <v>96</v>
      </c>
      <c r="C54" s="2" t="s">
        <v>83</v>
      </c>
      <c r="D54" s="2" t="s">
        <v>96</v>
      </c>
      <c r="E54" s="2" t="s">
        <v>63</v>
      </c>
      <c r="F54" s="2" t="s">
        <v>78</v>
      </c>
      <c r="G54" s="2"/>
      <c r="H54" s="2"/>
      <c r="I54" s="2" t="s">
        <v>63</v>
      </c>
      <c r="J54" s="2" t="s">
        <v>72</v>
      </c>
      <c r="K54" s="2" t="s">
        <v>96</v>
      </c>
      <c r="L54" s="2" t="s">
        <v>81</v>
      </c>
      <c r="M54" s="2" t="s">
        <v>96</v>
      </c>
      <c r="N54" s="2"/>
      <c r="O54" s="2"/>
      <c r="P54" s="2" t="s">
        <v>147</v>
      </c>
      <c r="Q54" s="2" t="s">
        <v>78</v>
      </c>
      <c r="R54" s="2" t="s">
        <v>147</v>
      </c>
      <c r="S54" s="2" t="s">
        <v>72</v>
      </c>
      <c r="T54" s="2" t="s">
        <v>147</v>
      </c>
      <c r="U54" s="2"/>
      <c r="V54" s="2"/>
      <c r="W54" s="2" t="s">
        <v>78</v>
      </c>
      <c r="X54" s="2" t="s">
        <v>93</v>
      </c>
      <c r="Y54" s="2" t="s">
        <v>66</v>
      </c>
      <c r="Z54" s="2" t="s">
        <v>78</v>
      </c>
      <c r="AA54" s="2" t="s">
        <v>93</v>
      </c>
    </row>
    <row r="55" customFormat="false" ht="15.75" hidden="false" customHeight="false" outlineLevel="0" collapsed="false">
      <c r="A55" s="2"/>
      <c r="B55" s="2" t="s">
        <v>83</v>
      </c>
      <c r="C55" s="2" t="s">
        <v>63</v>
      </c>
      <c r="D55" s="2" t="s">
        <v>83</v>
      </c>
      <c r="E55" s="2" t="s">
        <v>93</v>
      </c>
      <c r="F55" s="2" t="s">
        <v>78</v>
      </c>
      <c r="G55" s="2"/>
      <c r="H55" s="2"/>
      <c r="I55" s="2" t="s">
        <v>63</v>
      </c>
      <c r="J55" s="2" t="s">
        <v>72</v>
      </c>
      <c r="K55" s="2" t="s">
        <v>96</v>
      </c>
      <c r="L55" s="2" t="s">
        <v>72</v>
      </c>
      <c r="M55" s="2" t="s">
        <v>96</v>
      </c>
      <c r="N55" s="2"/>
      <c r="O55" s="2"/>
      <c r="P55" s="2" t="s">
        <v>89</v>
      </c>
      <c r="Q55" s="2" t="s">
        <v>78</v>
      </c>
      <c r="R55" s="2" t="s">
        <v>75</v>
      </c>
      <c r="S55" s="2" t="s">
        <v>78</v>
      </c>
      <c r="T55" s="2" t="s">
        <v>81</v>
      </c>
      <c r="U55" s="2"/>
      <c r="V55" s="2"/>
      <c r="W55" s="2" t="s">
        <v>78</v>
      </c>
      <c r="X55" s="2" t="s">
        <v>93</v>
      </c>
      <c r="Y55" s="2" t="s">
        <v>66</v>
      </c>
      <c r="Z55" s="2" t="s">
        <v>78</v>
      </c>
      <c r="AA55" s="2" t="s">
        <v>93</v>
      </c>
    </row>
    <row r="56" customFormat="false" ht="15.75" hidden="false" customHeight="false" outlineLevel="0" collapsed="false">
      <c r="A56" s="2"/>
      <c r="B56" s="2" t="s">
        <v>75</v>
      </c>
      <c r="C56" s="2" t="s">
        <v>83</v>
      </c>
      <c r="D56" s="2" t="s">
        <v>81</v>
      </c>
      <c r="E56" s="2" t="s">
        <v>66</v>
      </c>
      <c r="F56" s="2" t="s">
        <v>72</v>
      </c>
      <c r="G56" s="2"/>
      <c r="H56" s="2"/>
      <c r="I56" s="2" t="s">
        <v>63</v>
      </c>
      <c r="J56" s="2" t="s">
        <v>72</v>
      </c>
      <c r="K56" s="2" t="s">
        <v>63</v>
      </c>
      <c r="L56" s="2" t="s">
        <v>72</v>
      </c>
      <c r="M56" s="2" t="s">
        <v>96</v>
      </c>
      <c r="N56" s="2"/>
      <c r="O56" s="2"/>
      <c r="P56" s="2" t="s">
        <v>75</v>
      </c>
      <c r="Q56" s="2" t="s">
        <v>66</v>
      </c>
      <c r="R56" s="2" t="s">
        <v>89</v>
      </c>
      <c r="S56" s="2" t="s">
        <v>83</v>
      </c>
      <c r="T56" s="2" t="s">
        <v>69</v>
      </c>
      <c r="U56" s="2"/>
      <c r="V56" s="2"/>
      <c r="W56" s="2" t="s">
        <v>89</v>
      </c>
      <c r="X56" s="2" t="s">
        <v>89</v>
      </c>
      <c r="Y56" s="2" t="s">
        <v>75</v>
      </c>
      <c r="Z56" s="2" t="s">
        <v>72</v>
      </c>
      <c r="AA56" s="2" t="s">
        <v>69</v>
      </c>
    </row>
    <row r="57" customFormat="false" ht="15.75" hidden="false" customHeight="false" outlineLevel="0" collapsed="false">
      <c r="A57" s="2"/>
      <c r="B57" s="2" t="s">
        <v>72</v>
      </c>
      <c r="C57" s="2" t="s">
        <v>72</v>
      </c>
      <c r="D57" s="2" t="s">
        <v>81</v>
      </c>
      <c r="E57" s="2" t="s">
        <v>89</v>
      </c>
      <c r="F57" s="2" t="s">
        <v>96</v>
      </c>
      <c r="G57" s="2"/>
      <c r="H57" s="2"/>
      <c r="I57" s="2" t="s">
        <v>63</v>
      </c>
      <c r="J57" s="2" t="s">
        <v>72</v>
      </c>
      <c r="K57" s="2" t="s">
        <v>63</v>
      </c>
      <c r="L57" s="2" t="s">
        <v>72</v>
      </c>
      <c r="M57" s="2" t="s">
        <v>72</v>
      </c>
      <c r="N57" s="2"/>
      <c r="O57" s="2"/>
      <c r="P57" s="2" t="s">
        <v>81</v>
      </c>
      <c r="Q57" s="2" t="s">
        <v>78</v>
      </c>
      <c r="R57" s="2" t="s">
        <v>63</v>
      </c>
      <c r="S57" s="2" t="s">
        <v>78</v>
      </c>
      <c r="T57" s="2" t="s">
        <v>89</v>
      </c>
      <c r="U57" s="2"/>
      <c r="V57" s="2"/>
      <c r="W57" s="2" t="s">
        <v>89</v>
      </c>
      <c r="X57" s="2" t="s">
        <v>89</v>
      </c>
      <c r="Y57" s="2" t="s">
        <v>75</v>
      </c>
      <c r="Z57" s="2" t="s">
        <v>72</v>
      </c>
      <c r="AA57" s="2" t="s">
        <v>69</v>
      </c>
    </row>
    <row r="58" customFormat="false" ht="15.75" hidden="false" customHeight="false" outlineLevel="0" collapsed="false">
      <c r="A58" s="2"/>
      <c r="B58" s="2" t="s">
        <v>83</v>
      </c>
      <c r="C58" s="2" t="s">
        <v>93</v>
      </c>
      <c r="D58" s="2" t="s">
        <v>89</v>
      </c>
      <c r="E58" s="2" t="s">
        <v>72</v>
      </c>
      <c r="F58" s="2" t="s">
        <v>96</v>
      </c>
      <c r="G58" s="2"/>
      <c r="H58" s="2"/>
      <c r="I58" s="2" t="s">
        <v>83</v>
      </c>
      <c r="J58" s="2" t="s">
        <v>83</v>
      </c>
      <c r="K58" s="2" t="s">
        <v>63</v>
      </c>
      <c r="L58" s="2" t="s">
        <v>72</v>
      </c>
      <c r="M58" s="2" t="s">
        <v>72</v>
      </c>
      <c r="N58" s="2"/>
      <c r="O58" s="2"/>
      <c r="P58" s="2" t="s">
        <v>147</v>
      </c>
      <c r="Q58" s="2" t="s">
        <v>72</v>
      </c>
      <c r="R58" s="2" t="s">
        <v>147</v>
      </c>
      <c r="S58" s="2" t="s">
        <v>72</v>
      </c>
      <c r="T58" s="2" t="s">
        <v>147</v>
      </c>
      <c r="U58" s="2"/>
      <c r="V58" s="2"/>
      <c r="W58" s="2" t="s">
        <v>89</v>
      </c>
      <c r="X58" s="2" t="s">
        <v>89</v>
      </c>
      <c r="Y58" s="2" t="s">
        <v>75</v>
      </c>
      <c r="Z58" s="2" t="s">
        <v>72</v>
      </c>
      <c r="AA58" s="2" t="s">
        <v>69</v>
      </c>
    </row>
    <row r="59" customFormat="false" ht="15.75" hidden="false" customHeight="false" outlineLevel="0" collapsed="false">
      <c r="A59" s="2"/>
      <c r="B59" s="2" t="s">
        <v>89</v>
      </c>
      <c r="C59" s="2" t="s">
        <v>96</v>
      </c>
      <c r="D59" s="2" t="s">
        <v>69</v>
      </c>
      <c r="E59" s="2" t="s">
        <v>81</v>
      </c>
      <c r="F59" s="2" t="s">
        <v>93</v>
      </c>
      <c r="G59" s="2"/>
      <c r="H59" s="2"/>
      <c r="I59" s="2" t="s">
        <v>83</v>
      </c>
      <c r="J59" s="2" t="s">
        <v>83</v>
      </c>
      <c r="K59" s="2" t="s">
        <v>149</v>
      </c>
      <c r="L59" s="2" t="s">
        <v>96</v>
      </c>
      <c r="M59" s="2" t="s">
        <v>72</v>
      </c>
      <c r="N59" s="2"/>
      <c r="O59" s="2"/>
      <c r="P59" s="2" t="s">
        <v>69</v>
      </c>
      <c r="Q59" s="2" t="s">
        <v>78</v>
      </c>
      <c r="R59" s="2" t="s">
        <v>89</v>
      </c>
      <c r="S59" s="2" t="s">
        <v>93</v>
      </c>
      <c r="T59" s="2" t="s">
        <v>69</v>
      </c>
      <c r="U59" s="2"/>
      <c r="V59" s="2"/>
      <c r="W59" s="2" t="s">
        <v>63</v>
      </c>
      <c r="X59" s="2" t="s">
        <v>83</v>
      </c>
      <c r="Y59" s="2" t="s">
        <v>69</v>
      </c>
      <c r="Z59" s="2" t="s">
        <v>89</v>
      </c>
      <c r="AA59" s="2" t="s">
        <v>66</v>
      </c>
    </row>
    <row r="60" customFormat="false" ht="15.75" hidden="false" customHeight="false" outlineLevel="0" collapsed="false">
      <c r="A60" s="2"/>
      <c r="B60" s="2" t="s">
        <v>96</v>
      </c>
      <c r="C60" s="2" t="s">
        <v>83</v>
      </c>
      <c r="D60" s="2" t="s">
        <v>96</v>
      </c>
      <c r="E60" s="2" t="s">
        <v>96</v>
      </c>
      <c r="F60" s="2" t="s">
        <v>89</v>
      </c>
      <c r="G60" s="2"/>
      <c r="H60" s="2"/>
      <c r="I60" s="2" t="s">
        <v>83</v>
      </c>
      <c r="J60" s="2" t="s">
        <v>83</v>
      </c>
      <c r="K60" s="2" t="s">
        <v>63</v>
      </c>
      <c r="L60" s="2" t="s">
        <v>96</v>
      </c>
      <c r="M60" s="2" t="s">
        <v>72</v>
      </c>
      <c r="N60" s="2"/>
      <c r="O60" s="2"/>
      <c r="P60" s="2" t="s">
        <v>69</v>
      </c>
      <c r="Q60" s="2" t="s">
        <v>83</v>
      </c>
      <c r="R60" s="2" t="s">
        <v>96</v>
      </c>
      <c r="S60" s="2" t="s">
        <v>72</v>
      </c>
      <c r="T60" s="2" t="s">
        <v>69</v>
      </c>
      <c r="U60" s="2"/>
      <c r="V60" s="2"/>
      <c r="W60" s="2" t="s">
        <v>63</v>
      </c>
      <c r="X60" s="2" t="s">
        <v>83</v>
      </c>
      <c r="Y60" s="2" t="s">
        <v>69</v>
      </c>
      <c r="Z60" s="2" t="s">
        <v>89</v>
      </c>
      <c r="AA60" s="2" t="s">
        <v>66</v>
      </c>
    </row>
    <row r="61" customFormat="false" ht="15.75" hidden="false" customHeight="false" outlineLevel="0" collapsed="false">
      <c r="A61" s="2"/>
      <c r="B61" s="2" t="s">
        <v>89</v>
      </c>
      <c r="C61" s="2" t="s">
        <v>66</v>
      </c>
      <c r="D61" s="2" t="s">
        <v>78</v>
      </c>
      <c r="E61" s="2" t="s">
        <v>75</v>
      </c>
      <c r="F61" s="2" t="s">
        <v>75</v>
      </c>
      <c r="G61" s="2"/>
      <c r="H61" s="2"/>
      <c r="I61" s="2" t="s">
        <v>83</v>
      </c>
      <c r="J61" s="2" t="s">
        <v>83</v>
      </c>
      <c r="K61" s="2" t="s">
        <v>66</v>
      </c>
      <c r="L61" s="2" t="s">
        <v>149</v>
      </c>
      <c r="M61" s="2" t="s">
        <v>72</v>
      </c>
      <c r="N61" s="2"/>
      <c r="O61" s="2"/>
      <c r="P61" s="2" t="s">
        <v>89</v>
      </c>
      <c r="Q61" s="2" t="s">
        <v>78</v>
      </c>
      <c r="R61" s="2" t="s">
        <v>96</v>
      </c>
      <c r="S61" s="2" t="s">
        <v>78</v>
      </c>
      <c r="T61" s="2" t="s">
        <v>69</v>
      </c>
      <c r="U61" s="2"/>
      <c r="V61" s="2"/>
      <c r="W61" s="2" t="s">
        <v>63</v>
      </c>
      <c r="X61" s="2" t="s">
        <v>83</v>
      </c>
      <c r="Y61" s="2" t="s">
        <v>69</v>
      </c>
      <c r="Z61" s="2" t="s">
        <v>89</v>
      </c>
      <c r="AA61" s="2" t="s">
        <v>66</v>
      </c>
    </row>
    <row r="62" customFormat="false" ht="15.75" hidden="false" customHeight="false" outlineLevel="0" collapsed="false">
      <c r="A62" s="2"/>
      <c r="B62" s="2" t="s">
        <v>147</v>
      </c>
      <c r="C62" s="2" t="s">
        <v>96</v>
      </c>
      <c r="D62" s="2" t="s">
        <v>72</v>
      </c>
      <c r="E62" s="2" t="s">
        <v>89</v>
      </c>
      <c r="F62" s="2" t="s">
        <v>63</v>
      </c>
      <c r="G62" s="2"/>
      <c r="H62" s="2"/>
      <c r="I62" s="2" t="s">
        <v>96</v>
      </c>
      <c r="J62" s="2" t="s">
        <v>63</v>
      </c>
      <c r="K62" s="2" t="s">
        <v>66</v>
      </c>
      <c r="L62" s="2" t="s">
        <v>96</v>
      </c>
      <c r="M62" s="2" t="s">
        <v>72</v>
      </c>
      <c r="N62" s="2"/>
      <c r="O62" s="2"/>
      <c r="P62" s="2" t="s">
        <v>147</v>
      </c>
      <c r="Q62" s="2" t="s">
        <v>93</v>
      </c>
      <c r="R62" s="2" t="s">
        <v>147</v>
      </c>
      <c r="S62" s="2" t="s">
        <v>78</v>
      </c>
      <c r="T62" s="2" t="s">
        <v>147</v>
      </c>
      <c r="U62" s="2"/>
      <c r="V62" s="2"/>
      <c r="W62" s="2" t="s">
        <v>69</v>
      </c>
      <c r="X62" s="2" t="s">
        <v>81</v>
      </c>
      <c r="Y62" s="2" t="s">
        <v>83</v>
      </c>
      <c r="Z62" s="2" t="s">
        <v>75</v>
      </c>
      <c r="AA62" s="2" t="s">
        <v>93</v>
      </c>
    </row>
    <row r="63" customFormat="false" ht="15.75" hidden="false" customHeight="false" outlineLevel="0" collapsed="false">
      <c r="A63" s="2"/>
      <c r="B63" s="2" t="s">
        <v>96</v>
      </c>
      <c r="C63" s="2" t="s">
        <v>78</v>
      </c>
      <c r="D63" s="2" t="s">
        <v>72</v>
      </c>
      <c r="E63" s="2" t="s">
        <v>75</v>
      </c>
      <c r="F63" s="2" t="s">
        <v>93</v>
      </c>
      <c r="G63" s="2"/>
      <c r="H63" s="2"/>
      <c r="I63" s="2" t="s">
        <v>96</v>
      </c>
      <c r="J63" s="2" t="s">
        <v>63</v>
      </c>
      <c r="K63" s="2" t="s">
        <v>66</v>
      </c>
      <c r="L63" s="2" t="s">
        <v>96</v>
      </c>
      <c r="M63" s="2" t="s">
        <v>72</v>
      </c>
      <c r="N63" s="2"/>
      <c r="O63" s="2"/>
      <c r="P63" s="2" t="s">
        <v>89</v>
      </c>
      <c r="Q63" s="2" t="s">
        <v>78</v>
      </c>
      <c r="R63" s="2" t="s">
        <v>63</v>
      </c>
      <c r="S63" s="2" t="s">
        <v>93</v>
      </c>
      <c r="T63" s="2" t="s">
        <v>96</v>
      </c>
      <c r="U63" s="2"/>
      <c r="V63" s="2"/>
      <c r="W63" s="2" t="s">
        <v>69</v>
      </c>
      <c r="X63" s="2" t="s">
        <v>81</v>
      </c>
      <c r="Y63" s="2" t="s">
        <v>83</v>
      </c>
      <c r="Z63" s="2" t="s">
        <v>75</v>
      </c>
      <c r="AA63" s="2" t="s">
        <v>93</v>
      </c>
    </row>
    <row r="64" customFormat="false" ht="15.75" hidden="false" customHeight="false" outlineLevel="0" collapsed="false">
      <c r="A64" s="2"/>
      <c r="B64" s="2" t="s">
        <v>96</v>
      </c>
      <c r="C64" s="2" t="s">
        <v>83</v>
      </c>
      <c r="D64" s="2" t="s">
        <v>83</v>
      </c>
      <c r="E64" s="2" t="s">
        <v>96</v>
      </c>
      <c r="F64" s="2" t="s">
        <v>89</v>
      </c>
      <c r="G64" s="2"/>
      <c r="H64" s="2"/>
      <c r="I64" s="2" t="s">
        <v>96</v>
      </c>
      <c r="J64" s="2" t="s">
        <v>149</v>
      </c>
      <c r="K64" s="2" t="s">
        <v>66</v>
      </c>
      <c r="L64" s="2" t="s">
        <v>96</v>
      </c>
      <c r="M64" s="2" t="s">
        <v>72</v>
      </c>
      <c r="N64" s="2"/>
      <c r="O64" s="2"/>
      <c r="P64" s="2" t="s">
        <v>81</v>
      </c>
      <c r="Q64" s="2" t="s">
        <v>72</v>
      </c>
      <c r="R64" s="2" t="s">
        <v>96</v>
      </c>
      <c r="S64" s="2" t="s">
        <v>93</v>
      </c>
      <c r="T64" s="2" t="s">
        <v>96</v>
      </c>
      <c r="U64" s="2"/>
      <c r="V64" s="2"/>
      <c r="W64" s="2" t="s">
        <v>69</v>
      </c>
      <c r="X64" s="2" t="s">
        <v>81</v>
      </c>
      <c r="Y64" s="2" t="s">
        <v>83</v>
      </c>
      <c r="Z64" s="2" t="s">
        <v>75</v>
      </c>
      <c r="AA64" s="2" t="s">
        <v>93</v>
      </c>
    </row>
    <row r="65" customFormat="false" ht="15.75" hidden="false" customHeight="false" outlineLevel="0" collapsed="false">
      <c r="A65" s="2"/>
      <c r="B65" s="2" t="s">
        <v>75</v>
      </c>
      <c r="C65" s="2" t="s">
        <v>83</v>
      </c>
      <c r="D65" s="2" t="s">
        <v>149</v>
      </c>
      <c r="E65" s="2" t="s">
        <v>78</v>
      </c>
      <c r="F65" s="2" t="s">
        <v>93</v>
      </c>
      <c r="G65" s="2"/>
      <c r="H65" s="2"/>
      <c r="I65" s="2" t="s">
        <v>96</v>
      </c>
      <c r="J65" s="2" t="s">
        <v>63</v>
      </c>
      <c r="K65" s="2" t="s">
        <v>93</v>
      </c>
      <c r="L65" s="2" t="s">
        <v>96</v>
      </c>
      <c r="M65" s="2" t="s">
        <v>69</v>
      </c>
      <c r="N65" s="2"/>
      <c r="O65" s="2"/>
      <c r="P65" s="2" t="s">
        <v>96</v>
      </c>
      <c r="Q65" s="2" t="s">
        <v>83</v>
      </c>
      <c r="R65" s="2" t="s">
        <v>89</v>
      </c>
      <c r="S65" s="2" t="s">
        <v>93</v>
      </c>
      <c r="T65" s="2" t="s">
        <v>81</v>
      </c>
      <c r="U65" s="2"/>
      <c r="V65" s="2"/>
      <c r="W65" s="2" t="s">
        <v>83</v>
      </c>
      <c r="X65" s="2" t="s">
        <v>69</v>
      </c>
      <c r="Y65" s="2" t="s">
        <v>69</v>
      </c>
      <c r="Z65" s="2" t="s">
        <v>81</v>
      </c>
      <c r="AA65" s="2" t="s">
        <v>81</v>
      </c>
    </row>
    <row r="66" customFormat="false" ht="15.75" hidden="false" customHeight="false" outlineLevel="0" collapsed="false">
      <c r="A66" s="2"/>
      <c r="B66" s="2" t="s">
        <v>81</v>
      </c>
      <c r="C66" s="2" t="s">
        <v>66</v>
      </c>
      <c r="D66" s="2" t="s">
        <v>75</v>
      </c>
      <c r="E66" s="2" t="s">
        <v>72</v>
      </c>
      <c r="F66" s="2" t="s">
        <v>83</v>
      </c>
      <c r="G66" s="2"/>
      <c r="H66" s="2"/>
      <c r="I66" s="2" t="s">
        <v>83</v>
      </c>
      <c r="J66" s="2" t="s">
        <v>63</v>
      </c>
      <c r="K66" s="2" t="s">
        <v>93</v>
      </c>
      <c r="L66" s="2" t="s">
        <v>96</v>
      </c>
      <c r="M66" s="2" t="s">
        <v>69</v>
      </c>
      <c r="N66" s="2"/>
      <c r="O66" s="2"/>
      <c r="P66" s="2" t="s">
        <v>147</v>
      </c>
      <c r="Q66" s="2" t="s">
        <v>83</v>
      </c>
      <c r="R66" s="2" t="s">
        <v>147</v>
      </c>
      <c r="S66" s="2" t="s">
        <v>93</v>
      </c>
      <c r="T66" s="2" t="s">
        <v>147</v>
      </c>
      <c r="U66" s="2"/>
      <c r="V66" s="2"/>
      <c r="W66" s="2" t="s">
        <v>83</v>
      </c>
      <c r="X66" s="2" t="s">
        <v>69</v>
      </c>
      <c r="Y66" s="2" t="s">
        <v>69</v>
      </c>
      <c r="Z66" s="2" t="s">
        <v>81</v>
      </c>
      <c r="AA66" s="2" t="s">
        <v>81</v>
      </c>
    </row>
    <row r="67" customFormat="false" ht="15.75" hidden="false" customHeight="false" outlineLevel="0" collapsed="false">
      <c r="A67" s="2"/>
      <c r="B67" s="2" t="s">
        <v>72</v>
      </c>
      <c r="C67" s="2" t="s">
        <v>72</v>
      </c>
      <c r="D67" s="2" t="s">
        <v>93</v>
      </c>
      <c r="E67" s="2" t="s">
        <v>72</v>
      </c>
      <c r="F67" s="2" t="s">
        <v>69</v>
      </c>
      <c r="G67" s="2"/>
      <c r="H67" s="2"/>
      <c r="I67" s="2" t="s">
        <v>83</v>
      </c>
      <c r="J67" s="2" t="s">
        <v>89</v>
      </c>
      <c r="K67" s="2" t="s">
        <v>93</v>
      </c>
      <c r="L67" s="2" t="s">
        <v>149</v>
      </c>
      <c r="M67" s="2" t="s">
        <v>69</v>
      </c>
      <c r="N67" s="2"/>
      <c r="O67" s="2"/>
      <c r="P67" s="2" t="s">
        <v>89</v>
      </c>
      <c r="Q67" s="2" t="s">
        <v>83</v>
      </c>
      <c r="R67" s="2" t="s">
        <v>96</v>
      </c>
      <c r="S67" s="2" t="s">
        <v>72</v>
      </c>
      <c r="T67" s="2" t="s">
        <v>89</v>
      </c>
      <c r="U67" s="2"/>
      <c r="V67" s="2"/>
      <c r="W67" s="2" t="s">
        <v>83</v>
      </c>
      <c r="X67" s="2" t="s">
        <v>69</v>
      </c>
      <c r="Y67" s="2" t="s">
        <v>69</v>
      </c>
      <c r="Z67" s="2" t="s">
        <v>81</v>
      </c>
      <c r="AA67" s="2" t="s">
        <v>81</v>
      </c>
    </row>
    <row r="68" customFormat="false" ht="15.75" hidden="false" customHeight="false" outlineLevel="0" collapsed="false">
      <c r="A68" s="2"/>
      <c r="B68" s="2" t="s">
        <v>89</v>
      </c>
      <c r="C68" s="2" t="s">
        <v>72</v>
      </c>
      <c r="D68" s="2" t="s">
        <v>93</v>
      </c>
      <c r="E68" s="2" t="s">
        <v>81</v>
      </c>
      <c r="F68" s="2" t="s">
        <v>66</v>
      </c>
      <c r="G68" s="2"/>
      <c r="H68" s="2"/>
      <c r="I68" s="2" t="s">
        <v>83</v>
      </c>
      <c r="J68" s="2" t="s">
        <v>89</v>
      </c>
      <c r="K68" s="2" t="s">
        <v>93</v>
      </c>
      <c r="L68" s="2" t="s">
        <v>96</v>
      </c>
      <c r="M68" s="2" t="s">
        <v>69</v>
      </c>
      <c r="N68" s="2"/>
      <c r="O68" s="2"/>
      <c r="P68" s="2" t="s">
        <v>69</v>
      </c>
      <c r="Q68" s="2" t="s">
        <v>66</v>
      </c>
      <c r="R68" s="2" t="s">
        <v>81</v>
      </c>
      <c r="S68" s="2" t="s">
        <v>83</v>
      </c>
      <c r="T68" s="2" t="s">
        <v>75</v>
      </c>
      <c r="U68" s="2"/>
      <c r="V68" s="2"/>
      <c r="W68" s="2"/>
      <c r="X68" s="2"/>
      <c r="Y68" s="2"/>
      <c r="Z68" s="2"/>
      <c r="AA68" s="2"/>
    </row>
    <row r="69" customFormat="false" ht="15.75" hidden="false" customHeight="false" outlineLevel="0" collapsed="false">
      <c r="A69" s="2"/>
      <c r="B69" s="2" t="s">
        <v>66</v>
      </c>
      <c r="C69" s="2" t="s">
        <v>66</v>
      </c>
      <c r="D69" s="2" t="s">
        <v>89</v>
      </c>
      <c r="E69" s="2" t="s">
        <v>83</v>
      </c>
      <c r="F69" s="2" t="s">
        <v>81</v>
      </c>
      <c r="G69" s="2"/>
      <c r="H69" s="2"/>
      <c r="I69" s="2" t="s">
        <v>83</v>
      </c>
      <c r="J69" s="2" t="s">
        <v>89</v>
      </c>
      <c r="K69" s="2" t="s">
        <v>75</v>
      </c>
      <c r="L69" s="2" t="s">
        <v>81</v>
      </c>
      <c r="M69" s="2" t="s">
        <v>66</v>
      </c>
      <c r="N69" s="2"/>
      <c r="O69" s="2"/>
      <c r="P69" s="2" t="s">
        <v>63</v>
      </c>
      <c r="Q69" s="2" t="s">
        <v>66</v>
      </c>
      <c r="R69" s="2" t="s">
        <v>89</v>
      </c>
      <c r="S69" s="2" t="s">
        <v>93</v>
      </c>
      <c r="T69" s="2" t="s">
        <v>81</v>
      </c>
      <c r="U69" s="2"/>
      <c r="V69" s="2"/>
      <c r="W69" s="2"/>
      <c r="X69" s="2"/>
      <c r="Y69" s="2"/>
      <c r="Z69" s="2"/>
      <c r="AA69" s="2"/>
    </row>
    <row r="70" customFormat="false" ht="15.75" hidden="false" customHeight="false" outlineLevel="0" collapsed="false">
      <c r="A70" s="2"/>
      <c r="B70" s="2" t="s">
        <v>78</v>
      </c>
      <c r="C70" s="2" t="s">
        <v>69</v>
      </c>
      <c r="D70" s="2" t="s">
        <v>66</v>
      </c>
      <c r="E70" s="2" t="s">
        <v>81</v>
      </c>
      <c r="F70" s="2" t="s">
        <v>81</v>
      </c>
      <c r="G70" s="2"/>
      <c r="H70" s="2"/>
      <c r="I70" s="2" t="s">
        <v>69</v>
      </c>
      <c r="J70" s="2" t="s">
        <v>89</v>
      </c>
      <c r="K70" s="2" t="s">
        <v>75</v>
      </c>
      <c r="L70" s="2" t="s">
        <v>81</v>
      </c>
      <c r="M70" s="2" t="s">
        <v>66</v>
      </c>
      <c r="N70" s="2"/>
      <c r="O70" s="2"/>
      <c r="P70" s="2" t="s">
        <v>147</v>
      </c>
      <c r="Q70" s="2" t="s">
        <v>66</v>
      </c>
      <c r="R70" s="2" t="s">
        <v>147</v>
      </c>
      <c r="S70" s="2" t="s">
        <v>93</v>
      </c>
      <c r="T70" s="2" t="s">
        <v>147</v>
      </c>
      <c r="U70" s="2"/>
      <c r="V70" s="2"/>
      <c r="W70" s="2"/>
      <c r="X70" s="2"/>
      <c r="Y70" s="2"/>
      <c r="Z70" s="2"/>
      <c r="AA70" s="2"/>
    </row>
    <row r="71" customFormat="false" ht="15.75" hidden="false" customHeight="false" outlineLevel="0" collapsed="false">
      <c r="A71" s="2"/>
      <c r="B71" s="2" t="s">
        <v>81</v>
      </c>
      <c r="C71" s="2" t="s">
        <v>78</v>
      </c>
      <c r="D71" s="2" t="s">
        <v>96</v>
      </c>
      <c r="E71" s="2" t="s">
        <v>96</v>
      </c>
      <c r="F71" s="2" t="s">
        <v>93</v>
      </c>
      <c r="G71" s="2"/>
      <c r="H71" s="2"/>
      <c r="I71" s="2" t="s">
        <v>69</v>
      </c>
      <c r="J71" s="2" t="s">
        <v>75</v>
      </c>
      <c r="K71" s="2" t="s">
        <v>75</v>
      </c>
      <c r="L71" s="2" t="s">
        <v>81</v>
      </c>
      <c r="M71" s="2" t="s">
        <v>66</v>
      </c>
      <c r="N71" s="2"/>
      <c r="O71" s="2"/>
      <c r="P71" s="2" t="s">
        <v>63</v>
      </c>
      <c r="Q71" s="2" t="s">
        <v>66</v>
      </c>
      <c r="R71" s="2" t="s">
        <v>89</v>
      </c>
      <c r="S71" s="2" t="s">
        <v>93</v>
      </c>
      <c r="T71" s="2" t="s">
        <v>96</v>
      </c>
      <c r="U71" s="2"/>
      <c r="V71" s="2"/>
      <c r="W71" s="2"/>
      <c r="X71" s="2"/>
      <c r="Y71" s="2"/>
      <c r="Z71" s="2"/>
      <c r="AA71" s="2"/>
    </row>
    <row r="72" customFormat="false" ht="15.75" hidden="false" customHeight="false" outlineLevel="0" collapsed="false">
      <c r="A72" s="2"/>
      <c r="B72" s="2" t="s">
        <v>81</v>
      </c>
      <c r="C72" s="2" t="s">
        <v>89</v>
      </c>
      <c r="D72" s="2" t="s">
        <v>66</v>
      </c>
      <c r="E72" s="2" t="s">
        <v>93</v>
      </c>
      <c r="F72" s="2" t="s">
        <v>75</v>
      </c>
      <c r="G72" s="2"/>
      <c r="H72" s="2"/>
      <c r="I72" s="2" t="s">
        <v>69</v>
      </c>
      <c r="J72" s="2" t="s">
        <v>75</v>
      </c>
      <c r="K72" s="2" t="s">
        <v>75</v>
      </c>
      <c r="L72" s="2" t="s">
        <v>81</v>
      </c>
      <c r="M72" s="2" t="s">
        <v>66</v>
      </c>
      <c r="N72" s="2"/>
      <c r="O72" s="2"/>
      <c r="P72" s="2" t="s">
        <v>63</v>
      </c>
      <c r="Q72" s="2" t="s">
        <v>93</v>
      </c>
      <c r="R72" s="2" t="s">
        <v>89</v>
      </c>
      <c r="S72" s="2" t="s">
        <v>72</v>
      </c>
      <c r="T72" s="2" t="s">
        <v>89</v>
      </c>
      <c r="U72" s="2"/>
      <c r="V72" s="2"/>
      <c r="W72" s="2"/>
      <c r="X72" s="2"/>
      <c r="Y72" s="2"/>
      <c r="Z72" s="2"/>
      <c r="AA72" s="2"/>
    </row>
    <row r="73" customFormat="false" ht="15.75" hidden="false" customHeight="false" outlineLevel="0" collapsed="false">
      <c r="A73" s="2"/>
      <c r="B73" s="2" t="s">
        <v>72</v>
      </c>
      <c r="C73" s="2" t="s">
        <v>69</v>
      </c>
      <c r="D73" s="2" t="s">
        <v>78</v>
      </c>
      <c r="E73" s="2" t="s">
        <v>69</v>
      </c>
      <c r="F73" s="2" t="s">
        <v>69</v>
      </c>
      <c r="G73" s="2"/>
      <c r="H73" s="2"/>
      <c r="I73" s="2" t="s">
        <v>69</v>
      </c>
      <c r="J73" s="2" t="s">
        <v>75</v>
      </c>
      <c r="K73" s="2" t="s">
        <v>81</v>
      </c>
      <c r="L73" s="2" t="s">
        <v>63</v>
      </c>
      <c r="M73" s="2" t="s">
        <v>78</v>
      </c>
      <c r="N73" s="2"/>
      <c r="O73" s="2"/>
      <c r="P73" s="2" t="s">
        <v>96</v>
      </c>
      <c r="Q73" s="2" t="s">
        <v>83</v>
      </c>
      <c r="R73" s="2" t="s">
        <v>75</v>
      </c>
      <c r="S73" s="2" t="s">
        <v>93</v>
      </c>
      <c r="T73" s="2" t="s">
        <v>75</v>
      </c>
      <c r="U73" s="2"/>
      <c r="V73" s="2"/>
      <c r="W73" s="2"/>
      <c r="X73" s="2"/>
      <c r="Y73" s="2"/>
      <c r="Z73" s="2"/>
      <c r="AA73" s="2"/>
    </row>
    <row r="74" customFormat="false" ht="15.75" hidden="false" customHeight="false" outlineLevel="0" collapsed="false">
      <c r="A74" s="2"/>
      <c r="B74" s="2" t="s">
        <v>69</v>
      </c>
      <c r="C74" s="2" t="s">
        <v>89</v>
      </c>
      <c r="D74" s="2" t="s">
        <v>78</v>
      </c>
      <c r="E74" s="2" t="s">
        <v>96</v>
      </c>
      <c r="F74" s="2" t="s">
        <v>93</v>
      </c>
      <c r="G74" s="2"/>
      <c r="H74" s="2"/>
      <c r="I74" s="2" t="s">
        <v>89</v>
      </c>
      <c r="J74" s="2" t="s">
        <v>75</v>
      </c>
      <c r="K74" s="2" t="s">
        <v>81</v>
      </c>
      <c r="L74" s="2" t="s">
        <v>63</v>
      </c>
      <c r="M74" s="2" t="s">
        <v>78</v>
      </c>
      <c r="N74" s="2"/>
      <c r="O74" s="2"/>
      <c r="P74" s="2" t="s">
        <v>147</v>
      </c>
      <c r="Q74" s="2" t="s">
        <v>83</v>
      </c>
      <c r="R74" s="2" t="s">
        <v>147</v>
      </c>
      <c r="S74" s="2" t="s">
        <v>72</v>
      </c>
      <c r="T74" s="2" t="s">
        <v>147</v>
      </c>
      <c r="U74" s="2"/>
      <c r="V74" s="2"/>
      <c r="W74" s="2"/>
      <c r="X74" s="2"/>
      <c r="Y74" s="2"/>
      <c r="Z74" s="2"/>
      <c r="AA74" s="2"/>
    </row>
    <row r="75" customFormat="false" ht="15.75" hidden="false" customHeight="false" outlineLevel="0" collapsed="false">
      <c r="A75" s="2"/>
      <c r="B75" s="2" t="s">
        <v>83</v>
      </c>
      <c r="C75" s="2" t="s">
        <v>78</v>
      </c>
      <c r="D75" s="2" t="s">
        <v>69</v>
      </c>
      <c r="E75" s="2" t="s">
        <v>81</v>
      </c>
      <c r="F75" s="2" t="s">
        <v>69</v>
      </c>
      <c r="G75" s="2"/>
      <c r="H75" s="2"/>
      <c r="I75" s="2" t="s">
        <v>89</v>
      </c>
      <c r="J75" s="2" t="s">
        <v>63</v>
      </c>
      <c r="K75" s="2" t="s">
        <v>81</v>
      </c>
      <c r="L75" s="2" t="s">
        <v>63</v>
      </c>
      <c r="M75" s="2" t="s">
        <v>78</v>
      </c>
      <c r="N75" s="2"/>
      <c r="O75" s="2"/>
      <c r="P75" s="2" t="s">
        <v>75</v>
      </c>
      <c r="Q75" s="2" t="s">
        <v>78</v>
      </c>
      <c r="R75" s="2" t="s">
        <v>75</v>
      </c>
      <c r="S75" s="2" t="s">
        <v>78</v>
      </c>
      <c r="T75" s="2" t="s">
        <v>63</v>
      </c>
      <c r="U75" s="2"/>
      <c r="V75" s="2"/>
      <c r="W75" s="2"/>
      <c r="X75" s="2"/>
      <c r="Y75" s="2"/>
      <c r="Z75" s="2"/>
      <c r="AA75" s="2"/>
    </row>
    <row r="76" customFormat="false" ht="15.75" hidden="false" customHeight="false" outlineLevel="0" collapsed="false">
      <c r="A76" s="2"/>
      <c r="B76" s="2" t="s">
        <v>83</v>
      </c>
      <c r="C76" s="2" t="s">
        <v>81</v>
      </c>
      <c r="D76" s="2" t="s">
        <v>81</v>
      </c>
      <c r="E76" s="2" t="s">
        <v>89</v>
      </c>
      <c r="F76" s="2" t="s">
        <v>81</v>
      </c>
      <c r="G76" s="2"/>
      <c r="H76" s="2"/>
      <c r="I76" s="2" t="s">
        <v>89</v>
      </c>
      <c r="J76" s="2" t="s">
        <v>63</v>
      </c>
      <c r="K76" s="2" t="s">
        <v>81</v>
      </c>
      <c r="L76" s="2" t="s">
        <v>63</v>
      </c>
      <c r="M76" s="2" t="s">
        <v>78</v>
      </c>
      <c r="N76" s="2"/>
      <c r="O76" s="2"/>
      <c r="P76" s="2" t="s">
        <v>63</v>
      </c>
      <c r="Q76" s="2" t="s">
        <v>83</v>
      </c>
      <c r="R76" s="2" t="s">
        <v>69</v>
      </c>
      <c r="S76" s="2" t="s">
        <v>93</v>
      </c>
      <c r="T76" s="2" t="s">
        <v>63</v>
      </c>
      <c r="U76" s="2"/>
      <c r="V76" s="2"/>
      <c r="W76" s="2"/>
      <c r="X76" s="2"/>
      <c r="Y76" s="2"/>
      <c r="Z76" s="2"/>
      <c r="AA76" s="2"/>
    </row>
    <row r="77" customFormat="false" ht="15.75" hidden="false" customHeight="false" outlineLevel="0" collapsed="false">
      <c r="A77" s="2"/>
      <c r="B77" s="2" t="s">
        <v>78</v>
      </c>
      <c r="C77" s="2" t="s">
        <v>89</v>
      </c>
      <c r="D77" s="2" t="s">
        <v>89</v>
      </c>
      <c r="E77" s="2" t="s">
        <v>72</v>
      </c>
      <c r="F77" s="2" t="s">
        <v>93</v>
      </c>
      <c r="G77" s="2"/>
      <c r="H77" s="2"/>
      <c r="I77" s="2" t="s">
        <v>89</v>
      </c>
      <c r="J77" s="2" t="s">
        <v>63</v>
      </c>
      <c r="K77" s="2" t="s">
        <v>78</v>
      </c>
      <c r="L77" s="2" t="s">
        <v>96</v>
      </c>
      <c r="M77" s="2" t="s">
        <v>93</v>
      </c>
      <c r="N77" s="2"/>
      <c r="O77" s="2"/>
      <c r="P77" s="2" t="s">
        <v>81</v>
      </c>
      <c r="Q77" s="2" t="s">
        <v>72</v>
      </c>
      <c r="R77" s="2" t="s">
        <v>81</v>
      </c>
      <c r="S77" s="2" t="s">
        <v>83</v>
      </c>
      <c r="T77" s="2" t="s">
        <v>96</v>
      </c>
      <c r="U77" s="2"/>
      <c r="V77" s="2"/>
      <c r="W77" s="2"/>
      <c r="X77" s="2"/>
      <c r="Y77" s="2"/>
      <c r="Z77" s="2"/>
      <c r="AA77" s="2"/>
    </row>
    <row r="78" customFormat="false" ht="15.75" hidden="false" customHeight="false" outlineLevel="0" collapsed="false">
      <c r="A78" s="2"/>
      <c r="B78" s="2" t="s">
        <v>78</v>
      </c>
      <c r="C78" s="2" t="s">
        <v>89</v>
      </c>
      <c r="D78" s="2" t="s">
        <v>83</v>
      </c>
      <c r="E78" s="2" t="s">
        <v>69</v>
      </c>
      <c r="F78" s="2" t="s">
        <v>81</v>
      </c>
      <c r="G78" s="2"/>
      <c r="H78" s="2"/>
      <c r="I78" s="2" t="s">
        <v>83</v>
      </c>
      <c r="J78" s="2" t="s">
        <v>63</v>
      </c>
      <c r="K78" s="2" t="s">
        <v>78</v>
      </c>
      <c r="L78" s="2" t="s">
        <v>96</v>
      </c>
      <c r="M78" s="2" t="s">
        <v>93</v>
      </c>
      <c r="N78" s="2"/>
      <c r="O78" s="2"/>
      <c r="P78" s="2" t="s">
        <v>147</v>
      </c>
      <c r="Q78" s="2" t="s">
        <v>93</v>
      </c>
      <c r="R78" s="2" t="s">
        <v>147</v>
      </c>
      <c r="S78" s="2" t="s">
        <v>66</v>
      </c>
      <c r="T78" s="2" t="s">
        <v>147</v>
      </c>
      <c r="U78" s="2"/>
      <c r="V78" s="2"/>
      <c r="W78" s="2"/>
      <c r="X78" s="2"/>
      <c r="Y78" s="2"/>
      <c r="Z78" s="2"/>
      <c r="AA78" s="2"/>
    </row>
    <row r="79" customFormat="false" ht="15.75" hidden="false" customHeight="false" outlineLevel="0" collapsed="false">
      <c r="A79" s="2"/>
      <c r="B79" s="2" t="s">
        <v>69</v>
      </c>
      <c r="C79" s="2" t="s">
        <v>63</v>
      </c>
      <c r="D79" s="2" t="s">
        <v>93</v>
      </c>
      <c r="E79" s="2" t="s">
        <v>63</v>
      </c>
      <c r="F79" s="2" t="s">
        <v>72</v>
      </c>
      <c r="G79" s="2"/>
      <c r="H79" s="2"/>
      <c r="I79" s="2" t="s">
        <v>83</v>
      </c>
      <c r="J79" s="2" t="s">
        <v>69</v>
      </c>
      <c r="K79" s="2" t="s">
        <v>78</v>
      </c>
      <c r="L79" s="2" t="s">
        <v>96</v>
      </c>
      <c r="M79" s="2" t="s">
        <v>93</v>
      </c>
      <c r="N79" s="2"/>
      <c r="O79" s="2"/>
      <c r="P79" s="2" t="s">
        <v>63</v>
      </c>
      <c r="Q79" s="2" t="s">
        <v>72</v>
      </c>
      <c r="R79" s="2" t="s">
        <v>75</v>
      </c>
      <c r="S79" s="2" t="s">
        <v>66</v>
      </c>
      <c r="T79" s="2" t="s">
        <v>69</v>
      </c>
      <c r="U79" s="2"/>
      <c r="V79" s="2"/>
      <c r="W79" s="2"/>
      <c r="X79" s="2"/>
      <c r="Y79" s="2"/>
      <c r="Z79" s="2"/>
      <c r="AA79" s="2"/>
    </row>
    <row r="80" customFormat="false" ht="15.75" hidden="false" customHeight="false" outlineLevel="0" collapsed="false">
      <c r="A80" s="2"/>
      <c r="B80" s="2" t="s">
        <v>72</v>
      </c>
      <c r="C80" s="2" t="s">
        <v>69</v>
      </c>
      <c r="D80" s="2" t="s">
        <v>96</v>
      </c>
      <c r="E80" s="2" t="s">
        <v>78</v>
      </c>
      <c r="F80" s="2" t="s">
        <v>72</v>
      </c>
      <c r="G80" s="2"/>
      <c r="H80" s="2"/>
      <c r="I80" s="2" t="s">
        <v>83</v>
      </c>
      <c r="J80" s="2" t="s">
        <v>69</v>
      </c>
      <c r="K80" s="2" t="s">
        <v>78</v>
      </c>
      <c r="L80" s="2" t="s">
        <v>96</v>
      </c>
      <c r="M80" s="2" t="s">
        <v>93</v>
      </c>
      <c r="N80" s="2"/>
      <c r="O80" s="2"/>
      <c r="P80" s="2" t="s">
        <v>69</v>
      </c>
      <c r="Q80" s="2" t="s">
        <v>83</v>
      </c>
      <c r="R80" s="2" t="s">
        <v>96</v>
      </c>
      <c r="S80" s="2" t="s">
        <v>83</v>
      </c>
      <c r="T80" s="2" t="s">
        <v>75</v>
      </c>
      <c r="U80" s="2"/>
      <c r="V80" s="2"/>
      <c r="W80" s="2"/>
      <c r="X80" s="2"/>
      <c r="Y80" s="2"/>
      <c r="Z80" s="2"/>
      <c r="AA80" s="2"/>
    </row>
    <row r="81" customFormat="false" ht="15.75" hidden="false" customHeight="false" outlineLevel="0" collapsed="false">
      <c r="A81" s="2"/>
      <c r="B81" s="2" t="s">
        <v>78</v>
      </c>
      <c r="C81" s="2" t="s">
        <v>96</v>
      </c>
      <c r="D81" s="2" t="s">
        <v>83</v>
      </c>
      <c r="E81" s="2" t="s">
        <v>93</v>
      </c>
      <c r="F81" s="2" t="s">
        <v>66</v>
      </c>
      <c r="G81" s="2"/>
      <c r="H81" s="2"/>
      <c r="I81" s="2" t="s">
        <v>83</v>
      </c>
      <c r="J81" s="2" t="s">
        <v>69</v>
      </c>
      <c r="K81" s="2" t="s">
        <v>72</v>
      </c>
      <c r="L81" s="2" t="s">
        <v>66</v>
      </c>
      <c r="M81" s="2" t="s">
        <v>83</v>
      </c>
      <c r="N81" s="2"/>
      <c r="O81" s="2"/>
      <c r="P81" s="2" t="s">
        <v>89</v>
      </c>
      <c r="Q81" s="2" t="s">
        <v>78</v>
      </c>
      <c r="R81" s="2" t="s">
        <v>75</v>
      </c>
      <c r="S81" s="2" t="s">
        <v>78</v>
      </c>
      <c r="T81" s="2" t="s">
        <v>69</v>
      </c>
      <c r="U81" s="2"/>
      <c r="V81" s="2"/>
      <c r="W81" s="2"/>
      <c r="X81" s="2"/>
      <c r="Y81" s="2"/>
      <c r="Z81" s="2"/>
      <c r="AA81" s="2"/>
    </row>
    <row r="82" customFormat="false" ht="15.75" hidden="false" customHeight="false" outlineLevel="0" collapsed="false">
      <c r="A82" s="2"/>
      <c r="B82" s="2" t="s">
        <v>81</v>
      </c>
      <c r="C82" s="2" t="s">
        <v>93</v>
      </c>
      <c r="D82" s="2" t="s">
        <v>89</v>
      </c>
      <c r="E82" s="2" t="s">
        <v>72</v>
      </c>
      <c r="F82" s="2" t="s">
        <v>89</v>
      </c>
      <c r="G82" s="2"/>
      <c r="H82" s="2"/>
      <c r="I82" s="2" t="s">
        <v>89</v>
      </c>
      <c r="J82" s="2" t="s">
        <v>69</v>
      </c>
      <c r="K82" s="2" t="s">
        <v>149</v>
      </c>
      <c r="L82" s="2" t="s">
        <v>66</v>
      </c>
      <c r="M82" s="2" t="s">
        <v>83</v>
      </c>
      <c r="N82" s="2"/>
      <c r="O82" s="2"/>
      <c r="P82" s="2" t="s">
        <v>147</v>
      </c>
      <c r="Q82" s="2" t="s">
        <v>72</v>
      </c>
      <c r="R82" s="2" t="s">
        <v>147</v>
      </c>
      <c r="S82" s="2" t="s">
        <v>66</v>
      </c>
      <c r="T82" s="2" t="s">
        <v>147</v>
      </c>
      <c r="U82" s="2"/>
      <c r="V82" s="2"/>
      <c r="W82" s="2"/>
      <c r="X82" s="2"/>
      <c r="Y82" s="2"/>
      <c r="Z82" s="2"/>
      <c r="AA82" s="2"/>
    </row>
    <row r="83" customFormat="false" ht="15.75" hidden="false" customHeight="false" outlineLevel="0" collapsed="false">
      <c r="A83" s="2"/>
      <c r="B83" s="2" t="s">
        <v>96</v>
      </c>
      <c r="C83" s="2" t="s">
        <v>93</v>
      </c>
      <c r="D83" s="2" t="s">
        <v>149</v>
      </c>
      <c r="E83" s="2" t="s">
        <v>93</v>
      </c>
      <c r="F83" s="2" t="s">
        <v>93</v>
      </c>
      <c r="G83" s="2"/>
      <c r="H83" s="2"/>
      <c r="I83" s="2" t="s">
        <v>89</v>
      </c>
      <c r="J83" s="2" t="s">
        <v>83</v>
      </c>
      <c r="K83" s="2" t="s">
        <v>72</v>
      </c>
      <c r="L83" s="2" t="s">
        <v>66</v>
      </c>
      <c r="M83" s="2" t="s">
        <v>83</v>
      </c>
      <c r="N83" s="2"/>
      <c r="O83" s="2"/>
      <c r="P83" s="2" t="s">
        <v>89</v>
      </c>
      <c r="Q83" s="2" t="s">
        <v>66</v>
      </c>
      <c r="R83" s="2" t="s">
        <v>63</v>
      </c>
      <c r="S83" s="2" t="s">
        <v>83</v>
      </c>
      <c r="T83" s="2" t="s">
        <v>69</v>
      </c>
      <c r="U83" s="2"/>
      <c r="V83" s="2"/>
      <c r="W83" s="2"/>
      <c r="X83" s="2"/>
      <c r="Y83" s="2"/>
      <c r="Z83" s="2"/>
      <c r="AA83" s="2"/>
    </row>
    <row r="84" customFormat="false" ht="15.75" hidden="false" customHeight="false" outlineLevel="0" collapsed="false">
      <c r="A84" s="2"/>
      <c r="B84" s="2" t="s">
        <v>63</v>
      </c>
      <c r="C84" s="2" t="s">
        <v>149</v>
      </c>
      <c r="D84" s="2" t="s">
        <v>72</v>
      </c>
      <c r="E84" s="2" t="s">
        <v>93</v>
      </c>
      <c r="F84" s="2" t="s">
        <v>81</v>
      </c>
      <c r="G84" s="2"/>
      <c r="H84" s="2"/>
      <c r="I84" s="2" t="s">
        <v>89</v>
      </c>
      <c r="J84" s="2" t="s">
        <v>83</v>
      </c>
      <c r="K84" s="2" t="s">
        <v>72</v>
      </c>
      <c r="L84" s="2" t="s">
        <v>66</v>
      </c>
      <c r="M84" s="2" t="s">
        <v>83</v>
      </c>
      <c r="N84" s="2"/>
      <c r="O84" s="2"/>
      <c r="P84" s="2" t="s">
        <v>89</v>
      </c>
      <c r="Q84" s="2" t="s">
        <v>83</v>
      </c>
      <c r="R84" s="2" t="s">
        <v>75</v>
      </c>
      <c r="S84" s="2" t="s">
        <v>66</v>
      </c>
      <c r="T84" s="2" t="s">
        <v>69</v>
      </c>
      <c r="U84" s="2"/>
      <c r="V84" s="2"/>
      <c r="W84" s="2"/>
      <c r="X84" s="2"/>
      <c r="Y84" s="2"/>
      <c r="Z84" s="2"/>
      <c r="AA84" s="2"/>
    </row>
    <row r="85" customFormat="false" ht="15.75" hidden="false" customHeight="false" outlineLevel="0" collapsed="false">
      <c r="A85" s="2"/>
      <c r="B85" s="2" t="s">
        <v>81</v>
      </c>
      <c r="C85" s="2" t="s">
        <v>75</v>
      </c>
      <c r="D85" s="2" t="s">
        <v>93</v>
      </c>
      <c r="E85" s="2" t="s">
        <v>89</v>
      </c>
      <c r="F85" s="2" t="s">
        <v>75</v>
      </c>
      <c r="G85" s="2"/>
      <c r="H85" s="2"/>
      <c r="I85" s="2" t="s">
        <v>89</v>
      </c>
      <c r="J85" s="2" t="s">
        <v>149</v>
      </c>
      <c r="K85" s="2" t="s">
        <v>72</v>
      </c>
      <c r="L85" s="2" t="s">
        <v>72</v>
      </c>
      <c r="M85" s="2" t="s">
        <v>93</v>
      </c>
      <c r="N85" s="2"/>
      <c r="O85" s="2"/>
      <c r="P85" s="2" t="s">
        <v>63</v>
      </c>
      <c r="Q85" s="2" t="s">
        <v>83</v>
      </c>
      <c r="R85" s="2" t="s">
        <v>69</v>
      </c>
      <c r="S85" s="2" t="s">
        <v>72</v>
      </c>
      <c r="T85" s="2" t="s">
        <v>89</v>
      </c>
      <c r="U85" s="2"/>
      <c r="V85" s="2"/>
      <c r="W85" s="2"/>
      <c r="X85" s="2"/>
      <c r="Y85" s="2"/>
      <c r="Z85" s="2"/>
      <c r="AA85" s="2"/>
    </row>
    <row r="86" customFormat="false" ht="15.75" hidden="false" customHeight="false" outlineLevel="0" collapsed="false">
      <c r="A86" s="2"/>
      <c r="B86" s="2" t="s">
        <v>72</v>
      </c>
      <c r="C86" s="2" t="s">
        <v>75</v>
      </c>
      <c r="D86" s="2" t="s">
        <v>83</v>
      </c>
      <c r="E86" s="2" t="s">
        <v>89</v>
      </c>
      <c r="F86" s="2" t="s">
        <v>93</v>
      </c>
      <c r="G86" s="2"/>
      <c r="H86" s="2"/>
      <c r="I86" s="2" t="s">
        <v>81</v>
      </c>
      <c r="J86" s="2" t="s">
        <v>83</v>
      </c>
      <c r="K86" s="2" t="s">
        <v>63</v>
      </c>
      <c r="L86" s="2" t="s">
        <v>72</v>
      </c>
      <c r="M86" s="2" t="s">
        <v>93</v>
      </c>
      <c r="N86" s="2"/>
      <c r="O86" s="2"/>
      <c r="P86" s="2" t="s">
        <v>147</v>
      </c>
      <c r="Q86" s="2" t="s">
        <v>93</v>
      </c>
      <c r="R86" s="2" t="s">
        <v>147</v>
      </c>
      <c r="S86" s="2" t="s">
        <v>83</v>
      </c>
      <c r="T86" s="2" t="s">
        <v>147</v>
      </c>
      <c r="U86" s="2"/>
      <c r="V86" s="2"/>
      <c r="W86" s="2"/>
      <c r="X86" s="2"/>
      <c r="Y86" s="2"/>
      <c r="Z86" s="2"/>
      <c r="AA86" s="2"/>
    </row>
    <row r="87" customFormat="false" ht="15.75" hidden="false" customHeight="false" outlineLevel="0" collapsed="false">
      <c r="A87" s="2"/>
      <c r="B87" s="2" t="s">
        <v>147</v>
      </c>
      <c r="C87" s="2" t="s">
        <v>83</v>
      </c>
      <c r="D87" s="2" t="s">
        <v>83</v>
      </c>
      <c r="E87" s="2" t="s">
        <v>93</v>
      </c>
      <c r="F87" s="2" t="s">
        <v>81</v>
      </c>
      <c r="G87" s="2"/>
      <c r="H87" s="2"/>
      <c r="I87" s="2" t="s">
        <v>81</v>
      </c>
      <c r="J87" s="2" t="s">
        <v>83</v>
      </c>
      <c r="K87" s="2" t="s">
        <v>149</v>
      </c>
      <c r="L87" s="2" t="s">
        <v>72</v>
      </c>
      <c r="M87" s="2" t="s">
        <v>93</v>
      </c>
      <c r="N87" s="2"/>
      <c r="O87" s="2"/>
      <c r="P87" s="2" t="s">
        <v>81</v>
      </c>
      <c r="Q87" s="2" t="s">
        <v>72</v>
      </c>
      <c r="R87" s="2" t="s">
        <v>63</v>
      </c>
      <c r="S87" s="2" t="s">
        <v>83</v>
      </c>
      <c r="T87" s="2" t="s">
        <v>81</v>
      </c>
      <c r="U87" s="2"/>
      <c r="V87" s="2"/>
      <c r="W87" s="2"/>
      <c r="X87" s="2"/>
      <c r="Y87" s="2"/>
      <c r="Z87" s="2"/>
      <c r="AA87" s="2"/>
    </row>
    <row r="88" customFormat="false" ht="15.75" hidden="false" customHeight="false" outlineLevel="0" collapsed="false">
      <c r="A88" s="2"/>
      <c r="B88" s="2" t="s">
        <v>69</v>
      </c>
      <c r="C88" s="2" t="s">
        <v>72</v>
      </c>
      <c r="D88" s="2" t="s">
        <v>96</v>
      </c>
      <c r="E88" s="2" t="s">
        <v>89</v>
      </c>
      <c r="F88" s="2" t="s">
        <v>83</v>
      </c>
      <c r="G88" s="2"/>
      <c r="H88" s="2"/>
      <c r="I88" s="2" t="s">
        <v>81</v>
      </c>
      <c r="J88" s="2" t="s">
        <v>96</v>
      </c>
      <c r="K88" s="2" t="s">
        <v>83</v>
      </c>
      <c r="L88" s="2" t="s">
        <v>72</v>
      </c>
      <c r="M88" s="2" t="s">
        <v>93</v>
      </c>
      <c r="N88" s="2"/>
      <c r="O88" s="2"/>
      <c r="P88" s="2" t="s">
        <v>69</v>
      </c>
      <c r="Q88" s="2" t="s">
        <v>72</v>
      </c>
      <c r="R88" s="2" t="s">
        <v>75</v>
      </c>
      <c r="S88" s="2" t="s">
        <v>78</v>
      </c>
      <c r="T88" s="2" t="s">
        <v>81</v>
      </c>
      <c r="U88" s="2"/>
      <c r="V88" s="2"/>
      <c r="W88" s="2"/>
      <c r="X88" s="2"/>
      <c r="Y88" s="2"/>
      <c r="Z88" s="2"/>
      <c r="AA88" s="2"/>
    </row>
    <row r="89" customFormat="false" ht="15.75" hidden="false" customHeight="false" outlineLevel="0" collapsed="false">
      <c r="A89" s="2"/>
      <c r="B89" s="2" t="s">
        <v>89</v>
      </c>
      <c r="C89" s="2" t="s">
        <v>83</v>
      </c>
      <c r="D89" s="2" t="s">
        <v>81</v>
      </c>
      <c r="E89" s="2" t="s">
        <v>89</v>
      </c>
      <c r="F89" s="2" t="s">
        <v>72</v>
      </c>
      <c r="G89" s="2"/>
      <c r="H89" s="2"/>
      <c r="I89" s="2" t="s">
        <v>81</v>
      </c>
      <c r="J89" s="2" t="s">
        <v>96</v>
      </c>
      <c r="K89" s="2" t="s">
        <v>83</v>
      </c>
      <c r="L89" s="2" t="s">
        <v>69</v>
      </c>
      <c r="M89" s="2" t="s">
        <v>66</v>
      </c>
      <c r="N89" s="2"/>
      <c r="O89" s="2"/>
      <c r="P89" s="2" t="s">
        <v>69</v>
      </c>
      <c r="Q89" s="2" t="s">
        <v>83</v>
      </c>
      <c r="R89" s="2" t="s">
        <v>75</v>
      </c>
      <c r="S89" s="2" t="s">
        <v>93</v>
      </c>
      <c r="T89" s="2" t="s">
        <v>69</v>
      </c>
      <c r="U89" s="2"/>
      <c r="V89" s="2"/>
      <c r="W89" s="2"/>
      <c r="X89" s="2"/>
      <c r="Y89" s="2"/>
      <c r="Z89" s="2"/>
      <c r="AA89" s="2"/>
    </row>
    <row r="90" customFormat="false" ht="15.75" hidden="false" customHeight="false" outlineLevel="0" collapsed="false">
      <c r="A90" s="2"/>
      <c r="B90" s="2" t="s">
        <v>89</v>
      </c>
      <c r="C90" s="2" t="s">
        <v>83</v>
      </c>
      <c r="D90" s="2" t="s">
        <v>78</v>
      </c>
      <c r="E90" s="2" t="s">
        <v>75</v>
      </c>
      <c r="F90" s="2" t="s">
        <v>89</v>
      </c>
      <c r="G90" s="2"/>
      <c r="H90" s="2"/>
      <c r="I90" s="2" t="s">
        <v>63</v>
      </c>
      <c r="J90" s="2" t="s">
        <v>96</v>
      </c>
      <c r="K90" s="2" t="s">
        <v>83</v>
      </c>
      <c r="L90" s="2" t="s">
        <v>69</v>
      </c>
      <c r="M90" s="2" t="s">
        <v>66</v>
      </c>
      <c r="N90" s="2"/>
      <c r="O90" s="2"/>
      <c r="P90" s="2" t="s">
        <v>147</v>
      </c>
      <c r="Q90" s="2" t="s">
        <v>72</v>
      </c>
      <c r="R90" s="2" t="s">
        <v>147</v>
      </c>
      <c r="S90" s="2" t="s">
        <v>83</v>
      </c>
      <c r="T90" s="2" t="s">
        <v>147</v>
      </c>
      <c r="U90" s="2"/>
      <c r="V90" s="2"/>
      <c r="W90" s="2"/>
      <c r="X90" s="2"/>
      <c r="Y90" s="2"/>
      <c r="Z90" s="2"/>
      <c r="AA90" s="2"/>
    </row>
    <row r="91" customFormat="false" ht="15.75" hidden="false" customHeight="false" outlineLevel="0" collapsed="false">
      <c r="A91" s="2"/>
      <c r="B91" s="2" t="s">
        <v>63</v>
      </c>
      <c r="C91" s="2" t="s">
        <v>83</v>
      </c>
      <c r="D91" s="2" t="s">
        <v>89</v>
      </c>
      <c r="E91" s="2" t="s">
        <v>69</v>
      </c>
      <c r="F91" s="2" t="s">
        <v>69</v>
      </c>
      <c r="G91" s="2"/>
      <c r="H91" s="2"/>
      <c r="I91" s="2" t="s">
        <v>63</v>
      </c>
      <c r="J91" s="2" t="s">
        <v>96</v>
      </c>
      <c r="K91" s="2" t="s">
        <v>83</v>
      </c>
      <c r="L91" s="2" t="s">
        <v>69</v>
      </c>
      <c r="M91" s="2" t="s">
        <v>66</v>
      </c>
      <c r="N91" s="2"/>
      <c r="O91" s="2"/>
      <c r="P91" s="2" t="s">
        <v>81</v>
      </c>
      <c r="Q91" s="2" t="s">
        <v>93</v>
      </c>
      <c r="R91" s="2" t="s">
        <v>69</v>
      </c>
      <c r="S91" s="2" t="s">
        <v>83</v>
      </c>
      <c r="T91" s="2" t="s">
        <v>75</v>
      </c>
      <c r="U91" s="2"/>
      <c r="V91" s="2"/>
      <c r="W91" s="2"/>
      <c r="X91" s="2"/>
      <c r="Y91" s="2"/>
      <c r="Z91" s="2"/>
      <c r="AA91" s="2"/>
    </row>
    <row r="92" customFormat="false" ht="15.75" hidden="false" customHeight="false" outlineLevel="0" collapsed="false">
      <c r="A92" s="2"/>
      <c r="B92" s="2" t="s">
        <v>83</v>
      </c>
      <c r="C92" s="2" t="s">
        <v>149</v>
      </c>
      <c r="D92" s="2" t="s">
        <v>89</v>
      </c>
      <c r="E92" s="2" t="s">
        <v>75</v>
      </c>
      <c r="F92" s="2" t="s">
        <v>69</v>
      </c>
      <c r="G92" s="2"/>
      <c r="H92" s="2"/>
      <c r="I92" s="2" t="s">
        <v>63</v>
      </c>
      <c r="J92" s="2" t="s">
        <v>93</v>
      </c>
      <c r="K92" s="2" t="s">
        <v>89</v>
      </c>
      <c r="L92" s="2" t="s">
        <v>69</v>
      </c>
      <c r="M92" s="2" t="s">
        <v>66</v>
      </c>
      <c r="N92" s="2"/>
      <c r="O92" s="2"/>
      <c r="P92" s="2" t="s">
        <v>69</v>
      </c>
      <c r="Q92" s="2" t="s">
        <v>72</v>
      </c>
      <c r="R92" s="2" t="s">
        <v>81</v>
      </c>
      <c r="S92" s="2" t="s">
        <v>66</v>
      </c>
      <c r="T92" s="2" t="s">
        <v>69</v>
      </c>
      <c r="U92" s="2"/>
      <c r="V92" s="2"/>
      <c r="W92" s="2"/>
      <c r="X92" s="2"/>
      <c r="Y92" s="2"/>
      <c r="Z92" s="2"/>
      <c r="AA92" s="2"/>
    </row>
    <row r="93" customFormat="false" ht="15.75" hidden="false" customHeight="false" outlineLevel="0" collapsed="false">
      <c r="A93" s="2"/>
      <c r="B93" s="2" t="s">
        <v>72</v>
      </c>
      <c r="C93" s="2" t="s">
        <v>69</v>
      </c>
      <c r="D93" s="2" t="s">
        <v>63</v>
      </c>
      <c r="E93" s="2" t="s">
        <v>96</v>
      </c>
      <c r="F93" s="2" t="s">
        <v>66</v>
      </c>
      <c r="G93" s="2"/>
      <c r="H93" s="2"/>
      <c r="I93" s="2" t="s">
        <v>63</v>
      </c>
      <c r="J93" s="2" t="s">
        <v>93</v>
      </c>
      <c r="K93" s="2" t="s">
        <v>89</v>
      </c>
      <c r="L93" s="2" t="s">
        <v>63</v>
      </c>
      <c r="M93" s="2" t="s">
        <v>69</v>
      </c>
      <c r="N93" s="2"/>
      <c r="O93" s="2"/>
      <c r="P93" s="2" t="s">
        <v>69</v>
      </c>
      <c r="Q93" s="2" t="s">
        <v>83</v>
      </c>
      <c r="R93" s="2" t="s">
        <v>81</v>
      </c>
      <c r="S93" s="2" t="s">
        <v>78</v>
      </c>
      <c r="T93" s="2" t="s">
        <v>69</v>
      </c>
      <c r="U93" s="2"/>
      <c r="V93" s="2"/>
      <c r="W93" s="2"/>
      <c r="X93" s="2"/>
      <c r="Y93" s="2"/>
      <c r="Z93" s="2"/>
      <c r="AA93" s="2"/>
    </row>
    <row r="94" customFormat="false" ht="15.75" hidden="false" customHeight="false" outlineLevel="0" collapsed="false">
      <c r="A94" s="2"/>
      <c r="B94" s="2" t="s">
        <v>66</v>
      </c>
      <c r="C94" s="2" t="s">
        <v>78</v>
      </c>
      <c r="D94" s="2" t="s">
        <v>96</v>
      </c>
      <c r="E94" s="2" t="s">
        <v>72</v>
      </c>
      <c r="F94" s="2" t="s">
        <v>66</v>
      </c>
      <c r="G94" s="2"/>
      <c r="H94" s="2"/>
      <c r="I94" s="2" t="s">
        <v>83</v>
      </c>
      <c r="J94" s="2" t="s">
        <v>93</v>
      </c>
      <c r="K94" s="2" t="s">
        <v>89</v>
      </c>
      <c r="L94" s="2" t="s">
        <v>63</v>
      </c>
      <c r="M94" s="2" t="s">
        <v>69</v>
      </c>
      <c r="N94" s="2"/>
      <c r="O94" s="2"/>
      <c r="P94" s="2" t="s">
        <v>147</v>
      </c>
      <c r="Q94" s="2" t="s">
        <v>78</v>
      </c>
      <c r="R94" s="2" t="s">
        <v>147</v>
      </c>
      <c r="S94" s="2" t="s">
        <v>78</v>
      </c>
      <c r="T94" s="2" t="s">
        <v>147</v>
      </c>
      <c r="U94" s="2"/>
      <c r="V94" s="2"/>
      <c r="W94" s="2"/>
      <c r="X94" s="2"/>
      <c r="Y94" s="2"/>
      <c r="Z94" s="2"/>
      <c r="AA94" s="2"/>
    </row>
    <row r="95" customFormat="false" ht="15.75" hidden="false" customHeight="false" outlineLevel="0" collapsed="false">
      <c r="A95" s="2"/>
      <c r="B95" s="2" t="s">
        <v>75</v>
      </c>
      <c r="C95" s="2" t="s">
        <v>83</v>
      </c>
      <c r="D95" s="2" t="s">
        <v>83</v>
      </c>
      <c r="E95" s="2" t="s">
        <v>78</v>
      </c>
      <c r="F95" s="2" t="s">
        <v>96</v>
      </c>
      <c r="G95" s="2"/>
      <c r="H95" s="2"/>
      <c r="I95" s="2" t="s">
        <v>83</v>
      </c>
      <c r="J95" s="2" t="s">
        <v>93</v>
      </c>
      <c r="K95" s="2" t="s">
        <v>89</v>
      </c>
      <c r="L95" s="2" t="s">
        <v>63</v>
      </c>
      <c r="M95" s="2" t="s">
        <v>69</v>
      </c>
      <c r="N95" s="2"/>
      <c r="O95" s="2"/>
      <c r="P95" s="2" t="s">
        <v>81</v>
      </c>
      <c r="Q95" s="2" t="s">
        <v>78</v>
      </c>
      <c r="R95" s="2" t="s">
        <v>69</v>
      </c>
      <c r="S95" s="2" t="s">
        <v>66</v>
      </c>
      <c r="T95" s="2" t="s">
        <v>75</v>
      </c>
      <c r="U95" s="2"/>
      <c r="V95" s="2"/>
      <c r="W95" s="2"/>
      <c r="X95" s="2"/>
      <c r="Y95" s="2"/>
      <c r="Z95" s="2"/>
      <c r="AA95" s="2"/>
    </row>
    <row r="96" customFormat="false" ht="15.75" hidden="false" customHeight="false" outlineLevel="0" collapsed="false">
      <c r="A96" s="2"/>
      <c r="B96" s="2" t="s">
        <v>72</v>
      </c>
      <c r="C96" s="2" t="s">
        <v>83</v>
      </c>
      <c r="D96" s="2" t="s">
        <v>83</v>
      </c>
      <c r="E96" s="2" t="s">
        <v>81</v>
      </c>
      <c r="F96" s="2" t="s">
        <v>66</v>
      </c>
      <c r="G96" s="2"/>
      <c r="H96" s="2"/>
      <c r="I96" s="2" t="s">
        <v>83</v>
      </c>
      <c r="J96" s="2" t="s">
        <v>96</v>
      </c>
      <c r="K96" s="2" t="s">
        <v>96</v>
      </c>
      <c r="L96" s="2" t="s">
        <v>63</v>
      </c>
      <c r="M96" s="2" t="s">
        <v>69</v>
      </c>
      <c r="N96" s="2"/>
      <c r="O96" s="2"/>
      <c r="P96" s="2" t="s">
        <v>69</v>
      </c>
      <c r="Q96" s="2" t="s">
        <v>72</v>
      </c>
      <c r="R96" s="2" t="s">
        <v>96</v>
      </c>
      <c r="S96" s="2" t="s">
        <v>72</v>
      </c>
      <c r="T96" s="2" t="s">
        <v>81</v>
      </c>
      <c r="U96" s="2"/>
      <c r="V96" s="2"/>
      <c r="W96" s="2"/>
      <c r="X96" s="2"/>
      <c r="Y96" s="2"/>
      <c r="Z96" s="2"/>
      <c r="AA96" s="2"/>
    </row>
    <row r="97" customFormat="false" ht="15.75" hidden="false" customHeight="false" outlineLevel="0" collapsed="false">
      <c r="A97" s="2"/>
      <c r="B97" s="2" t="s">
        <v>83</v>
      </c>
      <c r="C97" s="2" t="s">
        <v>81</v>
      </c>
      <c r="D97" s="2" t="s">
        <v>69</v>
      </c>
      <c r="E97" s="2" t="s">
        <v>96</v>
      </c>
      <c r="F97" s="2" t="s">
        <v>93</v>
      </c>
      <c r="G97" s="2"/>
      <c r="H97" s="2"/>
      <c r="I97" s="2" t="s">
        <v>83</v>
      </c>
      <c r="J97" s="2" t="s">
        <v>72</v>
      </c>
      <c r="K97" s="2" t="s">
        <v>96</v>
      </c>
      <c r="L97" s="2" t="s">
        <v>89</v>
      </c>
      <c r="M97" s="2" t="s">
        <v>78</v>
      </c>
      <c r="N97" s="2"/>
      <c r="O97" s="2"/>
      <c r="P97" s="2" t="s">
        <v>63</v>
      </c>
      <c r="Q97" s="2" t="s">
        <v>83</v>
      </c>
      <c r="R97" s="2" t="s">
        <v>89</v>
      </c>
      <c r="S97" s="2" t="s">
        <v>83</v>
      </c>
      <c r="T97" s="2" t="s">
        <v>96</v>
      </c>
      <c r="U97" s="2"/>
      <c r="V97" s="2"/>
      <c r="W97" s="2"/>
      <c r="X97" s="2"/>
      <c r="Y97" s="2"/>
      <c r="Z97" s="2"/>
      <c r="AA97" s="2"/>
    </row>
    <row r="98" customFormat="false" ht="15.75" hidden="false" customHeight="false" outlineLevel="0" collapsed="false">
      <c r="A98" s="2"/>
      <c r="B98" s="2" t="s">
        <v>69</v>
      </c>
      <c r="C98" s="2" t="s">
        <v>96</v>
      </c>
      <c r="D98" s="2" t="s">
        <v>81</v>
      </c>
      <c r="E98" s="2" t="s">
        <v>96</v>
      </c>
      <c r="F98" s="2" t="s">
        <v>69</v>
      </c>
      <c r="G98" s="2"/>
      <c r="H98" s="2"/>
      <c r="I98" s="2" t="s">
        <v>69</v>
      </c>
      <c r="J98" s="2" t="s">
        <v>149</v>
      </c>
      <c r="K98" s="2" t="s">
        <v>96</v>
      </c>
      <c r="L98" s="2" t="s">
        <v>149</v>
      </c>
      <c r="M98" s="2" t="s">
        <v>78</v>
      </c>
      <c r="N98" s="2"/>
      <c r="O98" s="2"/>
      <c r="P98" s="2" t="s">
        <v>147</v>
      </c>
      <c r="Q98" s="2" t="s">
        <v>83</v>
      </c>
      <c r="R98" s="2" t="s">
        <v>147</v>
      </c>
      <c r="S98" s="2" t="s">
        <v>78</v>
      </c>
      <c r="T98" s="2" t="s">
        <v>147</v>
      </c>
      <c r="U98" s="2"/>
      <c r="V98" s="2"/>
      <c r="W98" s="2"/>
      <c r="X98" s="2"/>
      <c r="Y98" s="2"/>
      <c r="Z98" s="2"/>
      <c r="AA98" s="2"/>
    </row>
    <row r="99" customFormat="false" ht="15.75" hidden="false" customHeight="false" outlineLevel="0" collapsed="false">
      <c r="A99" s="2"/>
      <c r="B99" s="2" t="s">
        <v>75</v>
      </c>
      <c r="C99" s="2" t="s">
        <v>93</v>
      </c>
      <c r="D99" s="2" t="s">
        <v>96</v>
      </c>
      <c r="E99" s="2" t="s">
        <v>81</v>
      </c>
      <c r="F99" s="2" t="s">
        <v>75</v>
      </c>
      <c r="G99" s="2"/>
      <c r="H99" s="2"/>
      <c r="I99" s="2" t="s">
        <v>69</v>
      </c>
      <c r="J99" s="2" t="s">
        <v>72</v>
      </c>
      <c r="K99" s="2" t="s">
        <v>96</v>
      </c>
      <c r="L99" s="2" t="s">
        <v>89</v>
      </c>
      <c r="M99" s="2" t="s">
        <v>78</v>
      </c>
      <c r="N99" s="2"/>
      <c r="O99" s="2"/>
      <c r="P99" s="2" t="s">
        <v>89</v>
      </c>
      <c r="Q99" s="2" t="s">
        <v>93</v>
      </c>
      <c r="R99" s="2" t="s">
        <v>89</v>
      </c>
      <c r="S99" s="2" t="s">
        <v>83</v>
      </c>
      <c r="T99" s="2" t="s">
        <v>81</v>
      </c>
      <c r="U99" s="2"/>
      <c r="V99" s="2"/>
      <c r="W99" s="2"/>
      <c r="X99" s="2"/>
      <c r="Y99" s="2"/>
      <c r="Z99" s="2"/>
      <c r="AA99" s="2"/>
    </row>
    <row r="100" customFormat="false" ht="15.75" hidden="false" customHeight="false" outlineLevel="0" collapsed="false">
      <c r="A100" s="2"/>
      <c r="B100" s="2" t="s">
        <v>78</v>
      </c>
      <c r="C100" s="2" t="s">
        <v>89</v>
      </c>
      <c r="D100" s="2" t="s">
        <v>83</v>
      </c>
      <c r="E100" s="2" t="s">
        <v>96</v>
      </c>
      <c r="F100" s="2" t="s">
        <v>75</v>
      </c>
      <c r="G100" s="2"/>
      <c r="H100" s="2"/>
      <c r="I100" s="2" t="s">
        <v>69</v>
      </c>
      <c r="J100" s="2" t="s">
        <v>72</v>
      </c>
      <c r="K100" s="2" t="s">
        <v>69</v>
      </c>
      <c r="L100" s="2" t="s">
        <v>89</v>
      </c>
      <c r="M100" s="2" t="s">
        <v>78</v>
      </c>
      <c r="N100" s="2"/>
      <c r="O100" s="2"/>
      <c r="P100" s="2" t="s">
        <v>96</v>
      </c>
      <c r="Q100" s="2" t="s">
        <v>78</v>
      </c>
      <c r="R100" s="2" t="s">
        <v>96</v>
      </c>
      <c r="S100" s="2" t="s">
        <v>93</v>
      </c>
      <c r="T100" s="2" t="s">
        <v>89</v>
      </c>
      <c r="U100" s="2"/>
      <c r="V100" s="2"/>
      <c r="W100" s="2"/>
      <c r="X100" s="2"/>
      <c r="Y100" s="2"/>
      <c r="Z100" s="2"/>
      <c r="AA100" s="2"/>
    </row>
    <row r="101" customFormat="false" ht="15.75" hidden="false" customHeight="false" outlineLevel="0" collapsed="false">
      <c r="A101" s="2"/>
      <c r="B101" s="2" t="s">
        <v>83</v>
      </c>
      <c r="C101" s="2" t="s">
        <v>93</v>
      </c>
      <c r="D101" s="2" t="s">
        <v>81</v>
      </c>
      <c r="E101" s="2" t="s">
        <v>69</v>
      </c>
      <c r="F101" s="2" t="s">
        <v>63</v>
      </c>
      <c r="G101" s="2"/>
      <c r="H101" s="2"/>
      <c r="I101" s="2" t="s">
        <v>69</v>
      </c>
      <c r="J101" s="2" t="s">
        <v>72</v>
      </c>
      <c r="K101" s="2" t="s">
        <v>69</v>
      </c>
      <c r="L101" s="2" t="s">
        <v>89</v>
      </c>
      <c r="M101" s="2" t="s">
        <v>66</v>
      </c>
      <c r="N101" s="2"/>
      <c r="O101" s="2"/>
      <c r="P101" s="2" t="s">
        <v>75</v>
      </c>
      <c r="Q101" s="2" t="s">
        <v>78</v>
      </c>
      <c r="R101" s="2" t="s">
        <v>69</v>
      </c>
      <c r="S101" s="2" t="s">
        <v>72</v>
      </c>
      <c r="T101" s="2" t="s">
        <v>89</v>
      </c>
      <c r="U101" s="2"/>
      <c r="V101" s="2"/>
      <c r="W101" s="2"/>
      <c r="X101" s="2"/>
      <c r="Y101" s="2"/>
      <c r="Z101" s="2"/>
      <c r="AA101" s="2"/>
    </row>
    <row r="102" customFormat="false" ht="15.75" hidden="false" customHeight="false" outlineLevel="0" collapsed="false">
      <c r="A102" s="2"/>
      <c r="B102" s="2" t="s">
        <v>69</v>
      </c>
      <c r="C102" s="2" t="s">
        <v>89</v>
      </c>
      <c r="D102" s="2" t="s">
        <v>89</v>
      </c>
      <c r="E102" s="2" t="s">
        <v>93</v>
      </c>
      <c r="F102" s="2" t="s">
        <v>89</v>
      </c>
      <c r="G102" s="2"/>
      <c r="H102" s="2"/>
      <c r="I102" s="2" t="s">
        <v>93</v>
      </c>
      <c r="J102" s="2" t="s">
        <v>149</v>
      </c>
      <c r="K102" s="2" t="s">
        <v>69</v>
      </c>
      <c r="L102" s="2" t="s">
        <v>75</v>
      </c>
      <c r="M102" s="2" t="s">
        <v>66</v>
      </c>
      <c r="N102" s="2"/>
      <c r="O102" s="2"/>
      <c r="P102" s="2" t="s">
        <v>147</v>
      </c>
      <c r="Q102" s="2" t="s">
        <v>83</v>
      </c>
      <c r="R102" s="2" t="s">
        <v>147</v>
      </c>
      <c r="S102" s="2" t="s">
        <v>78</v>
      </c>
      <c r="T102" s="2" t="s">
        <v>147</v>
      </c>
      <c r="U102" s="2"/>
      <c r="V102" s="2"/>
      <c r="W102" s="2"/>
      <c r="X102" s="2"/>
      <c r="Y102" s="2"/>
      <c r="Z102" s="2"/>
      <c r="AA102" s="2"/>
    </row>
    <row r="103" customFormat="false" ht="15.75" hidden="false" customHeight="false" outlineLevel="0" collapsed="false">
      <c r="A103" s="2"/>
      <c r="B103" s="2" t="s">
        <v>89</v>
      </c>
      <c r="C103" s="2" t="s">
        <v>96</v>
      </c>
      <c r="D103" s="2" t="s">
        <v>75</v>
      </c>
      <c r="E103" s="2" t="s">
        <v>83</v>
      </c>
      <c r="F103" s="2" t="s">
        <v>78</v>
      </c>
      <c r="G103" s="2"/>
      <c r="H103" s="2"/>
      <c r="I103" s="2" t="s">
        <v>93</v>
      </c>
      <c r="J103" s="2" t="s">
        <v>96</v>
      </c>
      <c r="K103" s="2" t="s">
        <v>69</v>
      </c>
      <c r="L103" s="2" t="s">
        <v>75</v>
      </c>
      <c r="M103" s="2" t="s">
        <v>66</v>
      </c>
      <c r="N103" s="2"/>
      <c r="O103" s="2"/>
      <c r="P103" s="2" t="s">
        <v>63</v>
      </c>
      <c r="Q103" s="2" t="s">
        <v>66</v>
      </c>
      <c r="R103" s="2" t="s">
        <v>69</v>
      </c>
      <c r="S103" s="2" t="s">
        <v>93</v>
      </c>
      <c r="T103" s="2" t="s">
        <v>75</v>
      </c>
      <c r="U103" s="2"/>
      <c r="V103" s="2"/>
      <c r="W103" s="2"/>
      <c r="X103" s="2"/>
      <c r="Y103" s="2"/>
      <c r="Z103" s="2"/>
      <c r="AA103" s="2"/>
    </row>
    <row r="104" customFormat="false" ht="15.75" hidden="false" customHeight="false" outlineLevel="0" collapsed="false">
      <c r="A104" s="2"/>
      <c r="B104" s="2" t="s">
        <v>147</v>
      </c>
      <c r="C104" s="2" t="s">
        <v>149</v>
      </c>
      <c r="D104" s="2" t="s">
        <v>149</v>
      </c>
      <c r="E104" s="2" t="s">
        <v>83</v>
      </c>
      <c r="F104" s="2" t="s">
        <v>66</v>
      </c>
      <c r="G104" s="2"/>
      <c r="H104" s="2"/>
      <c r="I104" s="2" t="s">
        <v>93</v>
      </c>
      <c r="J104" s="2" t="s">
        <v>96</v>
      </c>
      <c r="K104" s="2" t="s">
        <v>83</v>
      </c>
      <c r="L104" s="2" t="s">
        <v>149</v>
      </c>
      <c r="M104" s="2" t="s">
        <v>66</v>
      </c>
      <c r="N104" s="2"/>
      <c r="O104" s="2"/>
      <c r="P104" s="2" t="s">
        <v>96</v>
      </c>
      <c r="Q104" s="2" t="s">
        <v>83</v>
      </c>
      <c r="R104" s="2" t="s">
        <v>96</v>
      </c>
      <c r="S104" s="2" t="s">
        <v>83</v>
      </c>
      <c r="T104" s="2" t="s">
        <v>75</v>
      </c>
      <c r="U104" s="2"/>
      <c r="V104" s="2"/>
      <c r="W104" s="2"/>
      <c r="X104" s="2"/>
      <c r="Y104" s="2"/>
      <c r="Z104" s="2"/>
      <c r="AA104" s="2"/>
    </row>
    <row r="105" customFormat="false" ht="15.75" hidden="false" customHeight="false" outlineLevel="0" collapsed="false">
      <c r="A105" s="2"/>
      <c r="B105" s="2" t="s">
        <v>69</v>
      </c>
      <c r="C105" s="2" t="s">
        <v>93</v>
      </c>
      <c r="D105" s="2" t="s">
        <v>75</v>
      </c>
      <c r="E105" s="2" t="s">
        <v>63</v>
      </c>
      <c r="F105" s="2" t="s">
        <v>147</v>
      </c>
      <c r="G105" s="2"/>
      <c r="H105" s="2"/>
      <c r="I105" s="2" t="s">
        <v>93</v>
      </c>
      <c r="J105" s="2" t="s">
        <v>96</v>
      </c>
      <c r="K105" s="2" t="s">
        <v>83</v>
      </c>
      <c r="L105" s="2" t="s">
        <v>75</v>
      </c>
      <c r="M105" s="2" t="s">
        <v>81</v>
      </c>
      <c r="N105" s="2"/>
      <c r="O105" s="2"/>
      <c r="P105" s="2" t="s">
        <v>75</v>
      </c>
      <c r="Q105" s="2" t="s">
        <v>83</v>
      </c>
      <c r="R105" s="2" t="s">
        <v>81</v>
      </c>
      <c r="S105" s="2" t="s">
        <v>83</v>
      </c>
      <c r="T105" s="2" t="s">
        <v>75</v>
      </c>
      <c r="U105" s="2"/>
      <c r="V105" s="2"/>
      <c r="W105" s="2"/>
      <c r="X105" s="2"/>
      <c r="Y105" s="2"/>
      <c r="Z105" s="2"/>
      <c r="AA105" s="2"/>
    </row>
    <row r="106" customFormat="false" ht="15.75" hidden="false" customHeight="false" outlineLevel="0" collapsed="false">
      <c r="A106" s="2"/>
      <c r="B106" s="2" t="s">
        <v>75</v>
      </c>
      <c r="C106" s="2" t="s">
        <v>72</v>
      </c>
      <c r="D106" s="2" t="s">
        <v>83</v>
      </c>
      <c r="E106" s="2" t="s">
        <v>78</v>
      </c>
      <c r="F106" s="2" t="s">
        <v>83</v>
      </c>
      <c r="G106" s="2"/>
      <c r="H106" s="2"/>
      <c r="I106" s="2" t="s">
        <v>75</v>
      </c>
      <c r="J106" s="2" t="s">
        <v>96</v>
      </c>
      <c r="K106" s="2" t="s">
        <v>83</v>
      </c>
      <c r="L106" s="2" t="s">
        <v>75</v>
      </c>
      <c r="M106" s="2" t="s">
        <v>81</v>
      </c>
      <c r="N106" s="2"/>
      <c r="O106" s="2"/>
      <c r="P106" s="2" t="s">
        <v>147</v>
      </c>
      <c r="Q106" s="2" t="s">
        <v>93</v>
      </c>
      <c r="R106" s="2" t="s">
        <v>147</v>
      </c>
      <c r="S106" s="2" t="s">
        <v>93</v>
      </c>
      <c r="T106" s="2" t="s">
        <v>147</v>
      </c>
      <c r="U106" s="2"/>
      <c r="V106" s="2"/>
      <c r="W106" s="2"/>
      <c r="X106" s="2"/>
      <c r="Y106" s="2"/>
      <c r="Z106" s="2"/>
      <c r="AA106" s="2"/>
    </row>
    <row r="107" customFormat="false" ht="15.75" hidden="false" customHeight="false" outlineLevel="0" collapsed="false">
      <c r="A107" s="2"/>
      <c r="B107" s="2" t="s">
        <v>89</v>
      </c>
      <c r="C107" s="2" t="s">
        <v>63</v>
      </c>
      <c r="D107" s="2" t="s">
        <v>81</v>
      </c>
      <c r="E107" s="2" t="s">
        <v>78</v>
      </c>
      <c r="F107" s="2" t="s">
        <v>81</v>
      </c>
      <c r="G107" s="2"/>
      <c r="H107" s="2"/>
      <c r="I107" s="2" t="s">
        <v>75</v>
      </c>
      <c r="J107" s="2" t="s">
        <v>78</v>
      </c>
      <c r="K107" s="2" t="s">
        <v>83</v>
      </c>
      <c r="L107" s="2" t="s">
        <v>66</v>
      </c>
      <c r="M107" s="2" t="s">
        <v>81</v>
      </c>
      <c r="N107" s="2"/>
      <c r="O107" s="2"/>
      <c r="P107" s="2" t="s">
        <v>81</v>
      </c>
      <c r="Q107" s="2" t="s">
        <v>78</v>
      </c>
      <c r="R107" s="2" t="s">
        <v>75</v>
      </c>
      <c r="S107" s="2" t="s">
        <v>72</v>
      </c>
      <c r="T107" s="2" t="s">
        <v>89</v>
      </c>
      <c r="U107" s="2"/>
      <c r="V107" s="2"/>
      <c r="W107" s="2"/>
      <c r="X107" s="2"/>
      <c r="Y107" s="2"/>
      <c r="Z107" s="2"/>
      <c r="AA107" s="2"/>
    </row>
    <row r="108" customFormat="false" ht="15.75" hidden="false" customHeight="false" outlineLevel="0" collapsed="false">
      <c r="A108" s="2"/>
      <c r="B108" s="2" t="s">
        <v>81</v>
      </c>
      <c r="C108" s="2" t="s">
        <v>78</v>
      </c>
      <c r="D108" s="2" t="s">
        <v>81</v>
      </c>
      <c r="E108" s="2" t="s">
        <v>66</v>
      </c>
      <c r="F108" s="2" t="s">
        <v>83</v>
      </c>
      <c r="G108" s="2"/>
      <c r="H108" s="2"/>
      <c r="I108" s="2" t="s">
        <v>75</v>
      </c>
      <c r="J108" s="2" t="s">
        <v>78</v>
      </c>
      <c r="K108" s="2" t="s">
        <v>93</v>
      </c>
      <c r="L108" s="2" t="s">
        <v>66</v>
      </c>
      <c r="M108" s="2" t="s">
        <v>81</v>
      </c>
      <c r="N108" s="2"/>
      <c r="O108" s="2"/>
      <c r="P108" s="2" t="s">
        <v>96</v>
      </c>
      <c r="Q108" s="2" t="s">
        <v>93</v>
      </c>
      <c r="R108" s="2" t="s">
        <v>69</v>
      </c>
      <c r="S108" s="2" t="s">
        <v>83</v>
      </c>
      <c r="T108" s="2" t="s">
        <v>89</v>
      </c>
      <c r="U108" s="2"/>
      <c r="V108" s="2"/>
      <c r="W108" s="2"/>
      <c r="X108" s="2"/>
      <c r="Y108" s="2"/>
      <c r="Z108" s="2"/>
      <c r="AA108" s="2"/>
    </row>
    <row r="109" customFormat="false" ht="15.75" hidden="false" customHeight="false" outlineLevel="0" collapsed="false">
      <c r="A109" s="2"/>
      <c r="B109" s="2" t="s">
        <v>93</v>
      </c>
      <c r="C109" s="2" t="s">
        <v>81</v>
      </c>
      <c r="D109" s="2" t="s">
        <v>63</v>
      </c>
      <c r="E109" s="2" t="s">
        <v>96</v>
      </c>
      <c r="F109" s="2" t="s">
        <v>69</v>
      </c>
      <c r="G109" s="2"/>
      <c r="H109" s="2"/>
      <c r="I109" s="2" t="s">
        <v>75</v>
      </c>
      <c r="J109" s="2" t="s">
        <v>78</v>
      </c>
      <c r="K109" s="2" t="s">
        <v>93</v>
      </c>
      <c r="L109" s="2" t="s">
        <v>66</v>
      </c>
      <c r="M109" s="2" t="s">
        <v>89</v>
      </c>
      <c r="N109" s="2"/>
      <c r="O109" s="2"/>
      <c r="P109" s="2" t="s">
        <v>63</v>
      </c>
      <c r="Q109" s="2" t="s">
        <v>66</v>
      </c>
      <c r="R109" s="2" t="s">
        <v>63</v>
      </c>
      <c r="S109" s="2" t="s">
        <v>72</v>
      </c>
      <c r="T109" s="2" t="s">
        <v>63</v>
      </c>
      <c r="U109" s="2"/>
      <c r="V109" s="2"/>
      <c r="W109" s="2"/>
      <c r="X109" s="2"/>
      <c r="Y109" s="2"/>
      <c r="Z109" s="2"/>
      <c r="AA109" s="2"/>
    </row>
    <row r="110" customFormat="false" ht="15.75" hidden="false" customHeight="false" outlineLevel="0" collapsed="false">
      <c r="A110" s="2"/>
      <c r="B110" s="2" t="s">
        <v>96</v>
      </c>
      <c r="C110" s="2" t="s">
        <v>66</v>
      </c>
      <c r="D110" s="2" t="s">
        <v>75</v>
      </c>
      <c r="E110" s="2" t="s">
        <v>81</v>
      </c>
      <c r="F110" s="2" t="s">
        <v>81</v>
      </c>
      <c r="G110" s="2"/>
      <c r="H110" s="2"/>
      <c r="I110" s="2" t="s">
        <v>81</v>
      </c>
      <c r="J110" s="2" t="s">
        <v>78</v>
      </c>
      <c r="K110" s="2" t="s">
        <v>93</v>
      </c>
      <c r="L110" s="2" t="s">
        <v>66</v>
      </c>
      <c r="M110" s="2" t="s">
        <v>89</v>
      </c>
      <c r="N110" s="2"/>
      <c r="O110" s="2"/>
      <c r="P110" s="2" t="s">
        <v>147</v>
      </c>
      <c r="Q110" s="2" t="s">
        <v>83</v>
      </c>
      <c r="R110" s="2" t="s">
        <v>147</v>
      </c>
      <c r="S110" s="2" t="s">
        <v>83</v>
      </c>
      <c r="T110" s="2" t="s">
        <v>147</v>
      </c>
      <c r="U110" s="2"/>
      <c r="V110" s="2"/>
      <c r="W110" s="2"/>
      <c r="X110" s="2"/>
      <c r="Y110" s="2"/>
      <c r="Z110" s="2"/>
      <c r="AA110" s="2"/>
    </row>
    <row r="111" customFormat="false" ht="15.75" hidden="false" customHeight="false" outlineLevel="0" collapsed="false">
      <c r="A111" s="2"/>
      <c r="B111" s="2" t="s">
        <v>75</v>
      </c>
      <c r="C111" s="2" t="s">
        <v>81</v>
      </c>
      <c r="D111" s="2" t="s">
        <v>149</v>
      </c>
      <c r="E111" s="2" t="s">
        <v>83</v>
      </c>
      <c r="F111" s="2" t="s">
        <v>96</v>
      </c>
      <c r="G111" s="2"/>
      <c r="H111" s="2"/>
      <c r="I111" s="2" t="s">
        <v>81</v>
      </c>
      <c r="J111" s="2" t="s">
        <v>72</v>
      </c>
      <c r="K111" s="2" t="s">
        <v>93</v>
      </c>
      <c r="L111" s="2" t="s">
        <v>78</v>
      </c>
      <c r="M111" s="2" t="s">
        <v>89</v>
      </c>
      <c r="N111" s="2"/>
      <c r="O111" s="2"/>
      <c r="P111" s="2" t="s">
        <v>96</v>
      </c>
      <c r="Q111" s="2" t="s">
        <v>66</v>
      </c>
      <c r="R111" s="2" t="s">
        <v>75</v>
      </c>
      <c r="S111" s="2" t="s">
        <v>72</v>
      </c>
      <c r="T111" s="2" t="s">
        <v>96</v>
      </c>
      <c r="U111" s="2"/>
      <c r="V111" s="2"/>
      <c r="W111" s="2"/>
      <c r="X111" s="2"/>
      <c r="Y111" s="2"/>
      <c r="Z111" s="2"/>
      <c r="AA111" s="2"/>
    </row>
    <row r="112" customFormat="false" ht="15.75" hidden="false" customHeight="false" outlineLevel="0" collapsed="false">
      <c r="A112" s="2"/>
      <c r="B112" s="2" t="s">
        <v>83</v>
      </c>
      <c r="C112" s="2" t="s">
        <v>93</v>
      </c>
      <c r="D112" s="2" t="s">
        <v>96</v>
      </c>
      <c r="E112" s="2" t="s">
        <v>96</v>
      </c>
      <c r="F112" s="2" t="s">
        <v>66</v>
      </c>
      <c r="G112" s="2"/>
      <c r="H112" s="2"/>
      <c r="I112" s="2" t="s">
        <v>81</v>
      </c>
      <c r="J112" s="2" t="s">
        <v>72</v>
      </c>
      <c r="K112" s="2" t="s">
        <v>72</v>
      </c>
      <c r="L112" s="2" t="s">
        <v>78</v>
      </c>
      <c r="M112" s="2" t="s">
        <v>89</v>
      </c>
      <c r="N112" s="2"/>
      <c r="O112" s="2"/>
      <c r="P112" s="2" t="s">
        <v>89</v>
      </c>
      <c r="Q112" s="2" t="s">
        <v>66</v>
      </c>
      <c r="R112" s="2" t="s">
        <v>89</v>
      </c>
      <c r="S112" s="2" t="s">
        <v>83</v>
      </c>
      <c r="T112" s="2" t="s">
        <v>96</v>
      </c>
      <c r="U112" s="2"/>
      <c r="V112" s="2"/>
      <c r="W112" s="2"/>
      <c r="X112" s="2"/>
      <c r="Y112" s="2"/>
      <c r="Z112" s="2"/>
      <c r="AA112" s="2"/>
    </row>
    <row r="113" customFormat="false" ht="15.75" hidden="false" customHeight="false" outlineLevel="0" collapsed="false">
      <c r="A113" s="2"/>
      <c r="B113" s="2" t="s">
        <v>66</v>
      </c>
      <c r="C113" s="2" t="s">
        <v>69</v>
      </c>
      <c r="D113" s="2" t="s">
        <v>96</v>
      </c>
      <c r="E113" s="2" t="s">
        <v>89</v>
      </c>
      <c r="F113" s="2" t="s">
        <v>72</v>
      </c>
      <c r="G113" s="2"/>
      <c r="H113" s="2"/>
      <c r="I113" s="2" t="s">
        <v>81</v>
      </c>
      <c r="J113" s="2" t="s">
        <v>72</v>
      </c>
      <c r="K113" s="2" t="s">
        <v>72</v>
      </c>
      <c r="L113" s="2" t="s">
        <v>78</v>
      </c>
      <c r="M113" s="2" t="s">
        <v>83</v>
      </c>
      <c r="N113" s="2"/>
      <c r="O113" s="2"/>
      <c r="P113" s="2" t="s">
        <v>63</v>
      </c>
      <c r="Q113" s="2" t="s">
        <v>72</v>
      </c>
      <c r="R113" s="2" t="s">
        <v>69</v>
      </c>
      <c r="S113" s="2" t="s">
        <v>78</v>
      </c>
      <c r="T113" s="2" t="s">
        <v>81</v>
      </c>
      <c r="U113" s="2"/>
      <c r="V113" s="2"/>
      <c r="W113" s="2"/>
      <c r="X113" s="2"/>
      <c r="Y113" s="2"/>
      <c r="Z113" s="2"/>
      <c r="AA113" s="2"/>
    </row>
    <row r="114" customFormat="false" ht="15.75" hidden="false" customHeight="false" outlineLevel="0" collapsed="false">
      <c r="A114" s="2"/>
      <c r="B114" s="2" t="s">
        <v>96</v>
      </c>
      <c r="C114" s="2" t="s">
        <v>63</v>
      </c>
      <c r="D114" s="2" t="s">
        <v>75</v>
      </c>
      <c r="E114" s="2" t="s">
        <v>72</v>
      </c>
      <c r="F114" s="2" t="s">
        <v>78</v>
      </c>
      <c r="G114" s="2"/>
      <c r="H114" s="2"/>
      <c r="I114" s="2" t="s">
        <v>89</v>
      </c>
      <c r="J114" s="2" t="s">
        <v>72</v>
      </c>
      <c r="K114" s="2" t="s">
        <v>72</v>
      </c>
      <c r="L114" s="2" t="s">
        <v>78</v>
      </c>
      <c r="M114" s="2" t="s">
        <v>83</v>
      </c>
      <c r="N114" s="2"/>
      <c r="O114" s="2"/>
      <c r="P114" s="2" t="s">
        <v>147</v>
      </c>
      <c r="Q114" s="2" t="s">
        <v>93</v>
      </c>
      <c r="R114" s="2" t="s">
        <v>147</v>
      </c>
      <c r="S114" s="2" t="s">
        <v>66</v>
      </c>
      <c r="T114" s="2" t="s">
        <v>147</v>
      </c>
      <c r="U114" s="2"/>
      <c r="V114" s="2"/>
      <c r="W114" s="2"/>
      <c r="X114" s="2"/>
      <c r="Y114" s="2"/>
      <c r="Z114" s="2"/>
      <c r="AA114" s="2"/>
    </row>
    <row r="115" customFormat="false" ht="15.75" hidden="false" customHeight="false" outlineLevel="0" collapsed="false">
      <c r="A115" s="2"/>
      <c r="B115" s="2" t="s">
        <v>93</v>
      </c>
      <c r="C115" s="2" t="s">
        <v>72</v>
      </c>
      <c r="D115" s="2" t="s">
        <v>89</v>
      </c>
      <c r="E115" s="2" t="s">
        <v>93</v>
      </c>
      <c r="F115" s="2" t="s">
        <v>72</v>
      </c>
      <c r="G115" s="2"/>
      <c r="H115" s="2"/>
      <c r="I115" s="2" t="s">
        <v>89</v>
      </c>
      <c r="J115" s="2" t="s">
        <v>75</v>
      </c>
      <c r="K115" s="2" t="s">
        <v>72</v>
      </c>
      <c r="L115" s="2" t="s">
        <v>89</v>
      </c>
      <c r="M115" s="2" t="s">
        <v>83</v>
      </c>
      <c r="N115" s="2"/>
      <c r="O115" s="2"/>
      <c r="P115" s="2" t="s">
        <v>96</v>
      </c>
      <c r="Q115" s="2" t="s">
        <v>83</v>
      </c>
      <c r="R115" s="2" t="s">
        <v>81</v>
      </c>
      <c r="S115" s="2" t="s">
        <v>78</v>
      </c>
      <c r="T115" s="2" t="s">
        <v>63</v>
      </c>
      <c r="U115" s="2"/>
      <c r="V115" s="2"/>
      <c r="W115" s="2"/>
      <c r="X115" s="2"/>
      <c r="Y115" s="2"/>
      <c r="Z115" s="2"/>
      <c r="AA115" s="2"/>
    </row>
    <row r="116" customFormat="false" ht="15.75" hidden="false" customHeight="false" outlineLevel="0" collapsed="false">
      <c r="A116" s="2"/>
      <c r="B116" s="2" t="s">
        <v>78</v>
      </c>
      <c r="C116" s="2" t="s">
        <v>72</v>
      </c>
      <c r="D116" s="2" t="s">
        <v>78</v>
      </c>
      <c r="E116" s="2" t="s">
        <v>66</v>
      </c>
      <c r="F116" s="2" t="s">
        <v>96</v>
      </c>
      <c r="G116" s="2"/>
      <c r="H116" s="2"/>
      <c r="I116" s="2" t="s">
        <v>89</v>
      </c>
      <c r="J116" s="2" t="s">
        <v>75</v>
      </c>
      <c r="K116" s="2" t="s">
        <v>96</v>
      </c>
      <c r="L116" s="2" t="s">
        <v>89</v>
      </c>
      <c r="M116" s="2" t="s">
        <v>83</v>
      </c>
      <c r="N116" s="2"/>
      <c r="O116" s="2"/>
      <c r="P116" s="2" t="s">
        <v>63</v>
      </c>
      <c r="Q116" s="2" t="s">
        <v>93</v>
      </c>
      <c r="R116" s="2" t="s">
        <v>63</v>
      </c>
      <c r="S116" s="2" t="s">
        <v>83</v>
      </c>
      <c r="T116" s="2" t="s">
        <v>69</v>
      </c>
      <c r="U116" s="2"/>
      <c r="V116" s="2"/>
      <c r="W116" s="2"/>
      <c r="X116" s="2"/>
      <c r="Y116" s="2"/>
      <c r="Z116" s="2"/>
      <c r="AA116" s="2"/>
    </row>
    <row r="117" customFormat="false" ht="15.75" hidden="false" customHeight="false" outlineLevel="0" collapsed="false">
      <c r="A117" s="2"/>
      <c r="B117" s="2" t="s">
        <v>63</v>
      </c>
      <c r="C117" s="2" t="s">
        <v>66</v>
      </c>
      <c r="D117" s="2" t="s">
        <v>66</v>
      </c>
      <c r="E117" s="2" t="s">
        <v>96</v>
      </c>
      <c r="F117" s="2" t="s">
        <v>96</v>
      </c>
      <c r="G117" s="2"/>
      <c r="H117" s="2"/>
      <c r="I117" s="2" t="s">
        <v>89</v>
      </c>
      <c r="J117" s="2" t="s">
        <v>75</v>
      </c>
      <c r="K117" s="2" t="s">
        <v>96</v>
      </c>
      <c r="L117" s="2" t="s">
        <v>89</v>
      </c>
      <c r="M117" s="2" t="s">
        <v>81</v>
      </c>
      <c r="N117" s="2"/>
      <c r="O117" s="2"/>
      <c r="P117" s="2" t="s">
        <v>69</v>
      </c>
      <c r="Q117" s="2" t="s">
        <v>78</v>
      </c>
      <c r="R117" s="2" t="s">
        <v>69</v>
      </c>
      <c r="S117" s="2" t="s">
        <v>72</v>
      </c>
      <c r="T117" s="2" t="s">
        <v>69</v>
      </c>
      <c r="U117" s="2"/>
      <c r="V117" s="2"/>
      <c r="W117" s="2"/>
      <c r="X117" s="2"/>
      <c r="Y117" s="2"/>
      <c r="Z117" s="2"/>
      <c r="AA117" s="2"/>
    </row>
    <row r="118" customFormat="false" ht="15.75" hidden="false" customHeight="false" outlineLevel="0" collapsed="false">
      <c r="A118" s="2"/>
      <c r="B118" s="2" t="s">
        <v>69</v>
      </c>
      <c r="C118" s="2" t="s">
        <v>96</v>
      </c>
      <c r="D118" s="2" t="s">
        <v>89</v>
      </c>
      <c r="E118" s="2" t="s">
        <v>81</v>
      </c>
      <c r="F118" s="2" t="s">
        <v>78</v>
      </c>
      <c r="G118" s="2"/>
      <c r="H118" s="2"/>
      <c r="I118" s="2" t="s">
        <v>93</v>
      </c>
      <c r="J118" s="2" t="s">
        <v>149</v>
      </c>
      <c r="K118" s="2" t="s">
        <v>96</v>
      </c>
      <c r="L118" s="2" t="s">
        <v>89</v>
      </c>
      <c r="M118" s="2" t="s">
        <v>81</v>
      </c>
      <c r="N118" s="2"/>
      <c r="O118" s="2"/>
      <c r="P118" s="2" t="s">
        <v>147</v>
      </c>
      <c r="Q118" s="2" t="s">
        <v>93</v>
      </c>
      <c r="R118" s="2" t="s">
        <v>147</v>
      </c>
      <c r="S118" s="2" t="s">
        <v>83</v>
      </c>
      <c r="T118" s="2" t="s">
        <v>147</v>
      </c>
      <c r="U118" s="2"/>
      <c r="V118" s="2"/>
      <c r="W118" s="2"/>
      <c r="X118" s="2"/>
      <c r="Y118" s="2"/>
      <c r="Z118" s="2"/>
      <c r="AA118" s="2"/>
    </row>
    <row r="119" customFormat="false" ht="15.75" hidden="false" customHeight="false" outlineLevel="0" collapsed="false">
      <c r="A119" s="2"/>
      <c r="B119" s="2" t="s">
        <v>147</v>
      </c>
      <c r="C119" s="2" t="s">
        <v>89</v>
      </c>
      <c r="D119" s="2" t="s">
        <v>89</v>
      </c>
      <c r="E119" s="2" t="s">
        <v>66</v>
      </c>
      <c r="F119" s="2" t="s">
        <v>96</v>
      </c>
      <c r="G119" s="2"/>
      <c r="H119" s="2"/>
      <c r="I119" s="2" t="s">
        <v>93</v>
      </c>
      <c r="J119" s="2" t="s">
        <v>149</v>
      </c>
      <c r="K119" s="2" t="s">
        <v>96</v>
      </c>
      <c r="L119" s="2" t="s">
        <v>93</v>
      </c>
      <c r="M119" s="2" t="s">
        <v>81</v>
      </c>
      <c r="N119" s="2"/>
      <c r="O119" s="2"/>
      <c r="P119" s="2" t="s">
        <v>69</v>
      </c>
      <c r="Q119" s="2" t="s">
        <v>93</v>
      </c>
      <c r="R119" s="2" t="s">
        <v>75</v>
      </c>
      <c r="S119" s="2" t="s">
        <v>72</v>
      </c>
      <c r="T119" s="2" t="s">
        <v>63</v>
      </c>
      <c r="U119" s="2"/>
      <c r="V119" s="2"/>
      <c r="W119" s="2"/>
      <c r="X119" s="2"/>
      <c r="Y119" s="2"/>
      <c r="Z119" s="2"/>
      <c r="AA119" s="2"/>
    </row>
    <row r="120" customFormat="false" ht="15.75" hidden="false" customHeight="false" outlineLevel="0" collapsed="false">
      <c r="A120" s="2"/>
      <c r="B120" s="2" t="s">
        <v>78</v>
      </c>
      <c r="C120" s="2" t="s">
        <v>89</v>
      </c>
      <c r="D120" s="2" t="s">
        <v>78</v>
      </c>
      <c r="E120" s="2" t="s">
        <v>89</v>
      </c>
      <c r="F120" s="2" t="s">
        <v>69</v>
      </c>
      <c r="G120" s="2"/>
      <c r="H120" s="2"/>
      <c r="I120" s="2" t="s">
        <v>93</v>
      </c>
      <c r="J120" s="2" t="s">
        <v>75</v>
      </c>
      <c r="K120" s="2" t="s">
        <v>149</v>
      </c>
      <c r="L120" s="2" t="s">
        <v>93</v>
      </c>
      <c r="M120" s="2" t="s">
        <v>81</v>
      </c>
      <c r="N120" s="2"/>
      <c r="O120" s="2"/>
      <c r="P120" s="2" t="s">
        <v>81</v>
      </c>
      <c r="Q120" s="2" t="s">
        <v>66</v>
      </c>
      <c r="R120" s="2" t="s">
        <v>96</v>
      </c>
      <c r="S120" s="2" t="s">
        <v>78</v>
      </c>
      <c r="T120" s="2" t="s">
        <v>75</v>
      </c>
      <c r="U120" s="2"/>
      <c r="V120" s="2"/>
      <c r="W120" s="2"/>
      <c r="X120" s="2"/>
      <c r="Y120" s="2"/>
      <c r="Z120" s="2"/>
      <c r="AA120" s="2"/>
    </row>
    <row r="121" customFormat="false" ht="15.75" hidden="false" customHeight="false" outlineLevel="0" collapsed="false">
      <c r="A121" s="2"/>
      <c r="B121" s="2" t="s">
        <v>81</v>
      </c>
      <c r="C121" s="2" t="s">
        <v>81</v>
      </c>
      <c r="D121" s="2" t="s">
        <v>75</v>
      </c>
      <c r="E121" s="2" t="s">
        <v>93</v>
      </c>
      <c r="F121" s="2" t="s">
        <v>96</v>
      </c>
      <c r="G121" s="2"/>
      <c r="H121" s="2"/>
      <c r="I121" s="2" t="s">
        <v>93</v>
      </c>
      <c r="J121" s="2" t="s">
        <v>66</v>
      </c>
      <c r="K121" s="2" t="s">
        <v>78</v>
      </c>
      <c r="L121" s="2" t="s">
        <v>93</v>
      </c>
      <c r="M121" s="2" t="s">
        <v>96</v>
      </c>
      <c r="N121" s="2"/>
      <c r="O121" s="2"/>
      <c r="P121" s="2" t="s">
        <v>69</v>
      </c>
      <c r="Q121" s="2" t="s">
        <v>93</v>
      </c>
      <c r="R121" s="2" t="s">
        <v>81</v>
      </c>
      <c r="S121" s="2" t="s">
        <v>66</v>
      </c>
      <c r="T121" s="2" t="s">
        <v>96</v>
      </c>
      <c r="U121" s="2"/>
      <c r="V121" s="2"/>
      <c r="W121" s="2"/>
      <c r="X121" s="2"/>
      <c r="Y121" s="2"/>
      <c r="Z121" s="2"/>
      <c r="AA121" s="2"/>
    </row>
    <row r="122" customFormat="false" ht="15.75" hidden="false" customHeight="false" outlineLevel="0" collapsed="false">
      <c r="A122" s="2"/>
      <c r="B122" s="2" t="s">
        <v>83</v>
      </c>
      <c r="C122" s="2" t="s">
        <v>66</v>
      </c>
      <c r="D122" s="2" t="s">
        <v>63</v>
      </c>
      <c r="E122" s="2" t="s">
        <v>96</v>
      </c>
      <c r="F122" s="2" t="s">
        <v>83</v>
      </c>
      <c r="G122" s="2"/>
      <c r="H122" s="2"/>
      <c r="I122" s="2" t="s">
        <v>78</v>
      </c>
      <c r="J122" s="2" t="s">
        <v>66</v>
      </c>
      <c r="K122" s="2" t="s">
        <v>78</v>
      </c>
      <c r="L122" s="2" t="s">
        <v>93</v>
      </c>
      <c r="M122" s="2" t="s">
        <v>96</v>
      </c>
      <c r="N122" s="2"/>
      <c r="O122" s="2"/>
      <c r="P122" s="2" t="s">
        <v>147</v>
      </c>
      <c r="Q122" s="2" t="s">
        <v>93</v>
      </c>
      <c r="R122" s="2" t="s">
        <v>147</v>
      </c>
      <c r="S122" s="2" t="s">
        <v>66</v>
      </c>
      <c r="T122" s="2" t="s">
        <v>147</v>
      </c>
      <c r="U122" s="2"/>
      <c r="V122" s="2"/>
      <c r="W122" s="2"/>
      <c r="X122" s="2"/>
      <c r="Y122" s="2"/>
      <c r="Z122" s="2"/>
      <c r="AA122" s="2"/>
    </row>
    <row r="123" customFormat="false" ht="15.75" hidden="false" customHeight="false" outlineLevel="0" collapsed="false">
      <c r="A123" s="2"/>
      <c r="B123" s="2" t="s">
        <v>66</v>
      </c>
      <c r="C123" s="2" t="s">
        <v>75</v>
      </c>
      <c r="D123" s="2" t="s">
        <v>81</v>
      </c>
      <c r="E123" s="2" t="s">
        <v>78</v>
      </c>
      <c r="F123" s="2" t="s">
        <v>93</v>
      </c>
      <c r="G123" s="2"/>
      <c r="H123" s="2"/>
      <c r="I123" s="2" t="s">
        <v>78</v>
      </c>
      <c r="J123" s="2" t="s">
        <v>66</v>
      </c>
      <c r="K123" s="2" t="s">
        <v>78</v>
      </c>
      <c r="L123" s="2" t="s">
        <v>83</v>
      </c>
      <c r="M123" s="2" t="s">
        <v>96</v>
      </c>
      <c r="N123" s="2"/>
      <c r="O123" s="2"/>
      <c r="P123" s="2" t="s">
        <v>75</v>
      </c>
      <c r="Q123" s="2" t="s">
        <v>66</v>
      </c>
      <c r="R123" s="2" t="s">
        <v>96</v>
      </c>
      <c r="S123" s="2" t="s">
        <v>93</v>
      </c>
      <c r="T123" s="2" t="s">
        <v>89</v>
      </c>
      <c r="U123" s="2"/>
      <c r="V123" s="2"/>
      <c r="W123" s="2"/>
      <c r="X123" s="2"/>
      <c r="Y123" s="2"/>
      <c r="Z123" s="2"/>
      <c r="AA123" s="2"/>
    </row>
    <row r="124" customFormat="false" ht="15.75" hidden="false" customHeight="false" outlineLevel="0" collapsed="false">
      <c r="A124" s="2"/>
      <c r="B124" s="2" t="s">
        <v>81</v>
      </c>
      <c r="C124" s="2" t="s">
        <v>96</v>
      </c>
      <c r="D124" s="2" t="s">
        <v>83</v>
      </c>
      <c r="E124" s="2" t="s">
        <v>75</v>
      </c>
      <c r="F124" s="2" t="s">
        <v>93</v>
      </c>
      <c r="G124" s="2"/>
      <c r="H124" s="2"/>
      <c r="I124" s="2" t="s">
        <v>78</v>
      </c>
      <c r="J124" s="2" t="s">
        <v>66</v>
      </c>
      <c r="K124" s="2" t="s">
        <v>78</v>
      </c>
      <c r="L124" s="2" t="s">
        <v>83</v>
      </c>
      <c r="M124" s="2" t="s">
        <v>96</v>
      </c>
      <c r="N124" s="2"/>
      <c r="O124" s="2"/>
      <c r="P124" s="2" t="s">
        <v>81</v>
      </c>
      <c r="Q124" s="2" t="s">
        <v>72</v>
      </c>
      <c r="R124" s="2" t="s">
        <v>89</v>
      </c>
      <c r="S124" s="2" t="s">
        <v>93</v>
      </c>
      <c r="T124" s="2" t="s">
        <v>89</v>
      </c>
      <c r="U124" s="2"/>
      <c r="V124" s="2"/>
      <c r="W124" s="2"/>
      <c r="X124" s="2"/>
      <c r="Y124" s="2"/>
      <c r="Z124" s="2"/>
      <c r="AA124" s="2"/>
    </row>
    <row r="125" customFormat="false" ht="15.75" hidden="false" customHeight="false" outlineLevel="0" collapsed="false">
      <c r="A125" s="2"/>
      <c r="B125" s="2" t="s">
        <v>89</v>
      </c>
      <c r="C125" s="2" t="s">
        <v>93</v>
      </c>
      <c r="D125" s="2" t="s">
        <v>93</v>
      </c>
      <c r="E125" s="2" t="s">
        <v>72</v>
      </c>
      <c r="F125" s="2" t="s">
        <v>83</v>
      </c>
      <c r="G125" s="2"/>
      <c r="H125" s="2"/>
      <c r="I125" s="2" t="s">
        <v>78</v>
      </c>
      <c r="J125" s="2" t="s">
        <v>93</v>
      </c>
      <c r="K125" s="2" t="s">
        <v>63</v>
      </c>
      <c r="L125" s="2" t="s">
        <v>83</v>
      </c>
      <c r="M125" s="2" t="s">
        <v>96</v>
      </c>
      <c r="N125" s="2"/>
      <c r="O125" s="2"/>
      <c r="P125" s="2" t="s">
        <v>75</v>
      </c>
      <c r="Q125" s="2" t="s">
        <v>72</v>
      </c>
      <c r="R125" s="2" t="s">
        <v>81</v>
      </c>
      <c r="S125" s="2" t="s">
        <v>83</v>
      </c>
      <c r="T125" s="2" t="s">
        <v>63</v>
      </c>
      <c r="U125" s="2"/>
      <c r="V125" s="2"/>
      <c r="W125" s="2"/>
      <c r="X125" s="2"/>
      <c r="Y125" s="2"/>
      <c r="Z125" s="2"/>
      <c r="AA125" s="2"/>
    </row>
    <row r="126" customFormat="false" ht="15.75" hidden="false" customHeight="false" outlineLevel="0" collapsed="false">
      <c r="A126" s="2"/>
      <c r="B126" s="2" t="s">
        <v>75</v>
      </c>
      <c r="C126" s="2" t="s">
        <v>75</v>
      </c>
      <c r="D126" s="2" t="s">
        <v>66</v>
      </c>
      <c r="E126" s="2" t="s">
        <v>81</v>
      </c>
      <c r="F126" s="2" t="s">
        <v>72</v>
      </c>
      <c r="G126" s="2"/>
      <c r="H126" s="2"/>
      <c r="I126" s="2" t="s">
        <v>78</v>
      </c>
      <c r="J126" s="2" t="s">
        <v>93</v>
      </c>
      <c r="K126" s="2" t="s">
        <v>63</v>
      </c>
      <c r="L126" s="2" t="s">
        <v>83</v>
      </c>
      <c r="M126" s="2" t="s">
        <v>96</v>
      </c>
      <c r="N126" s="2"/>
      <c r="O126" s="2"/>
      <c r="P126" s="2" t="s">
        <v>147</v>
      </c>
      <c r="Q126" s="2" t="s">
        <v>93</v>
      </c>
      <c r="R126" s="2" t="s">
        <v>147</v>
      </c>
      <c r="S126" s="2" t="s">
        <v>93</v>
      </c>
      <c r="T126" s="2" t="s">
        <v>147</v>
      </c>
      <c r="U126" s="2"/>
      <c r="V126" s="2"/>
      <c r="W126" s="2"/>
      <c r="X126" s="2"/>
      <c r="Y126" s="2"/>
      <c r="Z126" s="2"/>
      <c r="AA126" s="2"/>
    </row>
    <row r="127" customFormat="false" ht="15.75" hidden="false" customHeight="false" outlineLevel="0" collapsed="false">
      <c r="A127" s="2"/>
      <c r="B127" s="2" t="s">
        <v>75</v>
      </c>
      <c r="C127" s="2" t="s">
        <v>81</v>
      </c>
      <c r="D127" s="2" t="s">
        <v>75</v>
      </c>
      <c r="E127" s="2" t="s">
        <v>93</v>
      </c>
      <c r="F127" s="2" t="s">
        <v>96</v>
      </c>
      <c r="G127" s="2"/>
      <c r="H127" s="2"/>
      <c r="I127" s="2" t="s">
        <v>78</v>
      </c>
      <c r="J127" s="2" t="s">
        <v>93</v>
      </c>
      <c r="K127" s="2" t="s">
        <v>63</v>
      </c>
      <c r="L127" s="2" t="s">
        <v>89</v>
      </c>
      <c r="M127" s="2" t="s">
        <v>96</v>
      </c>
      <c r="N127" s="2"/>
      <c r="O127" s="2"/>
      <c r="P127" s="2" t="s">
        <v>89</v>
      </c>
      <c r="Q127" s="2" t="s">
        <v>72</v>
      </c>
      <c r="R127" s="2" t="s">
        <v>81</v>
      </c>
      <c r="S127" s="2" t="s">
        <v>78</v>
      </c>
      <c r="T127" s="2" t="s">
        <v>63</v>
      </c>
      <c r="U127" s="2"/>
      <c r="V127" s="2"/>
      <c r="W127" s="2"/>
      <c r="X127" s="2"/>
      <c r="Y127" s="2"/>
      <c r="Z127" s="2"/>
      <c r="AA127" s="2"/>
    </row>
    <row r="128" customFormat="false" ht="15.75" hidden="false" customHeight="false" outlineLevel="0" collapsed="false">
      <c r="A128" s="2"/>
      <c r="B128" s="2" t="s">
        <v>81</v>
      </c>
      <c r="C128" s="2" t="s">
        <v>69</v>
      </c>
      <c r="D128" s="2" t="s">
        <v>96</v>
      </c>
      <c r="E128" s="2" t="s">
        <v>75</v>
      </c>
      <c r="F128" s="2" t="s">
        <v>93</v>
      </c>
      <c r="G128" s="2"/>
      <c r="H128" s="2"/>
      <c r="I128" s="2" t="s">
        <v>78</v>
      </c>
      <c r="J128" s="2" t="s">
        <v>93</v>
      </c>
      <c r="K128" s="2" t="s">
        <v>63</v>
      </c>
      <c r="L128" s="2" t="s">
        <v>89</v>
      </c>
      <c r="M128" s="2" t="s">
        <v>96</v>
      </c>
      <c r="N128" s="2"/>
      <c r="O128" s="2"/>
      <c r="P128" s="2" t="s">
        <v>81</v>
      </c>
      <c r="Q128" s="2" t="s">
        <v>66</v>
      </c>
      <c r="R128" s="2" t="s">
        <v>63</v>
      </c>
      <c r="S128" s="2" t="s">
        <v>78</v>
      </c>
      <c r="T128" s="2" t="s">
        <v>75</v>
      </c>
      <c r="U128" s="2"/>
      <c r="V128" s="2"/>
      <c r="W128" s="2"/>
      <c r="X128" s="2"/>
      <c r="Y128" s="2"/>
      <c r="Z128" s="2"/>
      <c r="AA128" s="2"/>
    </row>
    <row r="129" customFormat="false" ht="15.75" hidden="false" customHeight="false" outlineLevel="0" collapsed="false">
      <c r="A129" s="2"/>
      <c r="B129" s="2" t="s">
        <v>96</v>
      </c>
      <c r="C129" s="2" t="s">
        <v>63</v>
      </c>
      <c r="D129" s="2" t="s">
        <v>63</v>
      </c>
      <c r="E129" s="2" t="s">
        <v>66</v>
      </c>
      <c r="F129" s="2" t="s">
        <v>66</v>
      </c>
      <c r="G129" s="2"/>
      <c r="H129" s="2"/>
      <c r="I129" s="2" t="s">
        <v>78</v>
      </c>
      <c r="J129" s="2" t="s">
        <v>83</v>
      </c>
      <c r="K129" s="2" t="s">
        <v>149</v>
      </c>
      <c r="L129" s="2" t="s">
        <v>89</v>
      </c>
      <c r="M129" s="2" t="s">
        <v>69</v>
      </c>
      <c r="N129" s="2"/>
      <c r="O129" s="2"/>
      <c r="P129" s="2" t="s">
        <v>63</v>
      </c>
      <c r="Q129" s="2" t="s">
        <v>78</v>
      </c>
      <c r="R129" s="2" t="s">
        <v>96</v>
      </c>
      <c r="S129" s="2" t="s">
        <v>72</v>
      </c>
      <c r="T129" s="2" t="s">
        <v>75</v>
      </c>
      <c r="U129" s="2"/>
      <c r="V129" s="2"/>
      <c r="W129" s="2"/>
      <c r="X129" s="2"/>
      <c r="Y129" s="2"/>
      <c r="Z129" s="2"/>
      <c r="AA129" s="2"/>
    </row>
    <row r="130" customFormat="false" ht="15.75" hidden="false" customHeight="false" outlineLevel="0" collapsed="false">
      <c r="A130" s="2"/>
      <c r="B130" s="2" t="s">
        <v>89</v>
      </c>
      <c r="C130" s="2" t="s">
        <v>93</v>
      </c>
      <c r="D130" s="2" t="s">
        <v>147</v>
      </c>
      <c r="E130" s="2" t="s">
        <v>89</v>
      </c>
      <c r="F130" s="2" t="s">
        <v>78</v>
      </c>
      <c r="G130" s="2"/>
      <c r="H130" s="2"/>
      <c r="I130" s="2" t="s">
        <v>93</v>
      </c>
      <c r="J130" s="2" t="s">
        <v>83</v>
      </c>
      <c r="K130" s="2" t="s">
        <v>83</v>
      </c>
      <c r="L130" s="2" t="s">
        <v>89</v>
      </c>
      <c r="M130" s="2" t="s">
        <v>69</v>
      </c>
      <c r="N130" s="2"/>
      <c r="O130" s="2"/>
      <c r="P130" s="2" t="s">
        <v>147</v>
      </c>
      <c r="Q130" s="2" t="s">
        <v>93</v>
      </c>
      <c r="R130" s="2" t="s">
        <v>147</v>
      </c>
      <c r="S130" s="2" t="s">
        <v>83</v>
      </c>
      <c r="T130" s="2" t="s">
        <v>147</v>
      </c>
      <c r="U130" s="2"/>
      <c r="V130" s="2"/>
      <c r="W130" s="2"/>
      <c r="X130" s="2"/>
      <c r="Y130" s="2"/>
      <c r="Z130" s="2"/>
      <c r="AA130" s="2"/>
    </row>
    <row r="131" customFormat="false" ht="15.75" hidden="false" customHeight="false" outlineLevel="0" collapsed="false">
      <c r="A131" s="2"/>
      <c r="B131" s="2" t="s">
        <v>72</v>
      </c>
      <c r="C131" s="2" t="s">
        <v>149</v>
      </c>
      <c r="D131" s="2" t="s">
        <v>78</v>
      </c>
      <c r="E131" s="2" t="s">
        <v>69</v>
      </c>
      <c r="F131" s="2" t="s">
        <v>75</v>
      </c>
      <c r="G131" s="2"/>
      <c r="H131" s="2"/>
      <c r="I131" s="2" t="s">
        <v>93</v>
      </c>
      <c r="J131" s="2" t="s">
        <v>83</v>
      </c>
      <c r="K131" s="2" t="s">
        <v>83</v>
      </c>
      <c r="L131" s="2" t="s">
        <v>66</v>
      </c>
      <c r="M131" s="2" t="s">
        <v>69</v>
      </c>
      <c r="N131" s="2"/>
      <c r="O131" s="2"/>
      <c r="P131" s="2" t="s">
        <v>63</v>
      </c>
      <c r="Q131" s="2" t="s">
        <v>93</v>
      </c>
      <c r="R131" s="2" t="s">
        <v>69</v>
      </c>
      <c r="S131" s="2" t="s">
        <v>83</v>
      </c>
      <c r="T131" s="2" t="s">
        <v>75</v>
      </c>
      <c r="U131" s="2"/>
      <c r="V131" s="2"/>
      <c r="W131" s="2"/>
      <c r="X131" s="2"/>
      <c r="Y131" s="2"/>
      <c r="Z131" s="2"/>
      <c r="AA131" s="2"/>
    </row>
    <row r="132" customFormat="false" ht="15.75" hidden="false" customHeight="false" outlineLevel="0" collapsed="false">
      <c r="A132" s="2"/>
      <c r="B132" s="2" t="s">
        <v>96</v>
      </c>
      <c r="C132" s="2" t="s">
        <v>72</v>
      </c>
      <c r="D132" s="2" t="s">
        <v>96</v>
      </c>
      <c r="E132" s="2" t="s">
        <v>83</v>
      </c>
      <c r="F132" s="2" t="s">
        <v>81</v>
      </c>
      <c r="G132" s="2"/>
      <c r="H132" s="2"/>
      <c r="I132" s="2" t="s">
        <v>93</v>
      </c>
      <c r="J132" s="2" t="s">
        <v>83</v>
      </c>
      <c r="K132" s="2" t="s">
        <v>83</v>
      </c>
      <c r="L132" s="2" t="s">
        <v>66</v>
      </c>
      <c r="M132" s="2" t="s">
        <v>69</v>
      </c>
      <c r="N132" s="2"/>
      <c r="O132" s="2"/>
      <c r="P132" s="2" t="s">
        <v>96</v>
      </c>
      <c r="Q132" s="2" t="s">
        <v>93</v>
      </c>
      <c r="R132" s="2" t="s">
        <v>63</v>
      </c>
      <c r="S132" s="2" t="s">
        <v>78</v>
      </c>
      <c r="T132" s="2" t="s">
        <v>63</v>
      </c>
      <c r="U132" s="2"/>
      <c r="V132" s="2"/>
      <c r="W132" s="2"/>
      <c r="X132" s="2"/>
      <c r="Y132" s="2"/>
      <c r="Z132" s="2"/>
      <c r="AA132" s="2"/>
    </row>
    <row r="133" customFormat="false" ht="15.75" hidden="false" customHeight="false" outlineLevel="0" collapsed="false">
      <c r="A133" s="2"/>
      <c r="B133" s="2" t="s">
        <v>83</v>
      </c>
      <c r="C133" s="2" t="s">
        <v>81</v>
      </c>
      <c r="D133" s="2" t="s">
        <v>96</v>
      </c>
      <c r="E133" s="2" t="s">
        <v>81</v>
      </c>
      <c r="F133" s="2" t="s">
        <v>81</v>
      </c>
      <c r="G133" s="2"/>
      <c r="H133" s="2"/>
      <c r="I133" s="2" t="s">
        <v>93</v>
      </c>
      <c r="J133" s="2" t="s">
        <v>78</v>
      </c>
      <c r="K133" s="2" t="s">
        <v>83</v>
      </c>
      <c r="L133" s="2" t="s">
        <v>66</v>
      </c>
      <c r="M133" s="2" t="s">
        <v>75</v>
      </c>
      <c r="N133" s="2"/>
      <c r="O133" s="2"/>
      <c r="P133" s="2" t="s">
        <v>63</v>
      </c>
      <c r="Q133" s="2" t="s">
        <v>72</v>
      </c>
      <c r="R133" s="2" t="s">
        <v>69</v>
      </c>
      <c r="S133" s="2" t="s">
        <v>66</v>
      </c>
      <c r="T133" s="2" t="s">
        <v>81</v>
      </c>
      <c r="U133" s="2"/>
      <c r="V133" s="2"/>
      <c r="W133" s="2"/>
      <c r="X133" s="2"/>
      <c r="Y133" s="2"/>
      <c r="Z133" s="2"/>
      <c r="AA133" s="2"/>
    </row>
    <row r="134" customFormat="false" ht="15.75" hidden="false" customHeight="false" outlineLevel="0" collapsed="false">
      <c r="A134" s="2"/>
      <c r="B134" s="2" t="s">
        <v>89</v>
      </c>
      <c r="C134" s="2" t="s">
        <v>72</v>
      </c>
      <c r="D134" s="2" t="s">
        <v>83</v>
      </c>
      <c r="E134" s="2" t="s">
        <v>93</v>
      </c>
      <c r="F134" s="2" t="s">
        <v>89</v>
      </c>
      <c r="G134" s="2"/>
      <c r="H134" s="2"/>
      <c r="I134" s="2" t="s">
        <v>66</v>
      </c>
      <c r="J134" s="2" t="s">
        <v>78</v>
      </c>
      <c r="K134" s="2" t="s">
        <v>72</v>
      </c>
      <c r="L134" s="2" t="s">
        <v>66</v>
      </c>
      <c r="M134" s="2" t="s">
        <v>75</v>
      </c>
      <c r="N134" s="2"/>
      <c r="O134" s="2"/>
      <c r="P134" s="2" t="s">
        <v>147</v>
      </c>
      <c r="Q134" s="2" t="s">
        <v>72</v>
      </c>
      <c r="R134" s="2" t="s">
        <v>147</v>
      </c>
      <c r="S134" s="2" t="s">
        <v>93</v>
      </c>
      <c r="T134" s="2" t="s">
        <v>147</v>
      </c>
      <c r="U134" s="2"/>
      <c r="V134" s="2"/>
      <c r="W134" s="2"/>
      <c r="X134" s="2"/>
      <c r="Y134" s="2"/>
      <c r="Z134" s="2"/>
      <c r="AA134" s="2"/>
    </row>
    <row r="135" customFormat="false" ht="15.75" hidden="false" customHeight="false" outlineLevel="0" collapsed="false">
      <c r="A135" s="2"/>
      <c r="B135" s="2" t="s">
        <v>93</v>
      </c>
      <c r="C135" s="2" t="s">
        <v>69</v>
      </c>
      <c r="D135" s="2" t="s">
        <v>63</v>
      </c>
      <c r="E135" s="2" t="s">
        <v>72</v>
      </c>
      <c r="F135" s="2" t="s">
        <v>69</v>
      </c>
      <c r="G135" s="2"/>
      <c r="H135" s="2"/>
      <c r="I135" s="2" t="s">
        <v>66</v>
      </c>
      <c r="J135" s="2" t="s">
        <v>78</v>
      </c>
      <c r="K135" s="2" t="s">
        <v>72</v>
      </c>
      <c r="L135" s="2" t="s">
        <v>72</v>
      </c>
      <c r="M135" s="2" t="s">
        <v>75</v>
      </c>
      <c r="N135" s="2"/>
      <c r="O135" s="2"/>
      <c r="P135" s="2" t="s">
        <v>96</v>
      </c>
      <c r="Q135" s="2" t="s">
        <v>83</v>
      </c>
      <c r="R135" s="2" t="s">
        <v>75</v>
      </c>
      <c r="S135" s="2" t="s">
        <v>66</v>
      </c>
      <c r="T135" s="2" t="s">
        <v>81</v>
      </c>
      <c r="U135" s="2"/>
      <c r="V135" s="2"/>
      <c r="W135" s="2"/>
      <c r="X135" s="2"/>
      <c r="Y135" s="2"/>
      <c r="Z135" s="2"/>
      <c r="AA135" s="2"/>
    </row>
    <row r="136" customFormat="false" ht="15.75" hidden="false" customHeight="false" outlineLevel="0" collapsed="false">
      <c r="A136" s="2"/>
      <c r="B136" s="2" t="s">
        <v>89</v>
      </c>
      <c r="C136" s="2" t="s">
        <v>81</v>
      </c>
      <c r="D136" s="2" t="s">
        <v>81</v>
      </c>
      <c r="E136" s="2" t="s">
        <v>89</v>
      </c>
      <c r="F136" s="2" t="s">
        <v>66</v>
      </c>
      <c r="G136" s="2"/>
      <c r="H136" s="2"/>
      <c r="I136" s="2" t="s">
        <v>66</v>
      </c>
      <c r="J136" s="2" t="s">
        <v>78</v>
      </c>
      <c r="K136" s="2" t="s">
        <v>72</v>
      </c>
      <c r="L136" s="2" t="s">
        <v>72</v>
      </c>
      <c r="M136" s="2" t="s">
        <v>75</v>
      </c>
      <c r="N136" s="2"/>
      <c r="O136" s="2"/>
      <c r="P136" s="2" t="s">
        <v>81</v>
      </c>
      <c r="Q136" s="2" t="s">
        <v>83</v>
      </c>
      <c r="R136" s="2" t="s">
        <v>89</v>
      </c>
      <c r="S136" s="2" t="s">
        <v>93</v>
      </c>
      <c r="T136" s="2" t="s">
        <v>89</v>
      </c>
      <c r="U136" s="2"/>
      <c r="V136" s="2"/>
      <c r="W136" s="2"/>
      <c r="X136" s="2"/>
      <c r="Y136" s="2"/>
      <c r="Z136" s="2"/>
      <c r="AA136" s="2"/>
    </row>
    <row r="137" customFormat="false" ht="15.75" hidden="false" customHeight="false" outlineLevel="0" collapsed="false">
      <c r="A137" s="2"/>
      <c r="B137" s="2" t="s">
        <v>63</v>
      </c>
      <c r="C137" s="2" t="s">
        <v>78</v>
      </c>
      <c r="D137" s="2" t="s">
        <v>78</v>
      </c>
      <c r="E137" s="2" t="s">
        <v>78</v>
      </c>
      <c r="F137" s="2" t="s">
        <v>81</v>
      </c>
      <c r="G137" s="2"/>
      <c r="H137" s="2"/>
      <c r="I137" s="2" t="s">
        <v>66</v>
      </c>
      <c r="J137" s="2" t="s">
        <v>96</v>
      </c>
      <c r="K137" s="2" t="s">
        <v>72</v>
      </c>
      <c r="L137" s="2" t="s">
        <v>72</v>
      </c>
      <c r="M137" s="2" t="s">
        <v>96</v>
      </c>
      <c r="N137" s="2"/>
      <c r="O137" s="2"/>
      <c r="P137" s="2" t="s">
        <v>89</v>
      </c>
      <c r="Q137" s="2" t="s">
        <v>83</v>
      </c>
      <c r="R137" s="2" t="s">
        <v>63</v>
      </c>
      <c r="S137" s="2" t="s">
        <v>83</v>
      </c>
      <c r="T137" s="2" t="s">
        <v>81</v>
      </c>
      <c r="U137" s="2"/>
      <c r="V137" s="2"/>
      <c r="W137" s="2"/>
      <c r="X137" s="2"/>
      <c r="Y137" s="2"/>
      <c r="Z137" s="2"/>
      <c r="AA137" s="2"/>
    </row>
    <row r="138" customFormat="false" ht="15.75" hidden="false" customHeight="false" outlineLevel="0" collapsed="false">
      <c r="A138" s="2"/>
      <c r="B138" s="2" t="s">
        <v>75</v>
      </c>
      <c r="C138" s="2" t="s">
        <v>93</v>
      </c>
      <c r="D138" s="2" t="s">
        <v>93</v>
      </c>
      <c r="E138" s="2" t="s">
        <v>63</v>
      </c>
      <c r="F138" s="2" t="s">
        <v>63</v>
      </c>
      <c r="G138" s="2"/>
      <c r="H138" s="2"/>
      <c r="I138" s="2" t="s">
        <v>75</v>
      </c>
      <c r="J138" s="2" t="s">
        <v>96</v>
      </c>
      <c r="K138" s="2" t="s">
        <v>66</v>
      </c>
      <c r="L138" s="2" t="s">
        <v>72</v>
      </c>
      <c r="M138" s="2" t="s">
        <v>96</v>
      </c>
      <c r="N138" s="2"/>
      <c r="O138" s="2"/>
      <c r="P138" s="2" t="s">
        <v>147</v>
      </c>
      <c r="Q138" s="2" t="s">
        <v>66</v>
      </c>
      <c r="R138" s="2" t="s">
        <v>147</v>
      </c>
      <c r="S138" s="2" t="s">
        <v>83</v>
      </c>
      <c r="T138" s="2" t="s">
        <v>147</v>
      </c>
      <c r="U138" s="2"/>
      <c r="V138" s="2"/>
      <c r="W138" s="2"/>
      <c r="X138" s="2"/>
      <c r="Y138" s="2"/>
      <c r="Z138" s="2"/>
      <c r="AA138" s="2"/>
    </row>
    <row r="139" customFormat="false" ht="15.75" hidden="false" customHeight="false" outlineLevel="0" collapsed="false">
      <c r="A139" s="2"/>
      <c r="B139" s="2" t="s">
        <v>69</v>
      </c>
      <c r="C139" s="2" t="s">
        <v>78</v>
      </c>
      <c r="D139" s="2" t="s">
        <v>78</v>
      </c>
      <c r="E139" s="2" t="s">
        <v>69</v>
      </c>
      <c r="F139" s="2" t="s">
        <v>72</v>
      </c>
      <c r="G139" s="2"/>
      <c r="H139" s="2"/>
      <c r="I139" s="2" t="s">
        <v>75</v>
      </c>
      <c r="J139" s="2" t="s">
        <v>96</v>
      </c>
      <c r="K139" s="2" t="s">
        <v>66</v>
      </c>
      <c r="L139" s="2" t="s">
        <v>96</v>
      </c>
      <c r="M139" s="2" t="s">
        <v>96</v>
      </c>
      <c r="N139" s="2"/>
      <c r="O139" s="2"/>
      <c r="P139" s="2" t="s">
        <v>89</v>
      </c>
      <c r="Q139" s="2" t="s">
        <v>83</v>
      </c>
      <c r="R139" s="2" t="s">
        <v>89</v>
      </c>
      <c r="S139" s="2" t="s">
        <v>72</v>
      </c>
      <c r="T139" s="2" t="s">
        <v>89</v>
      </c>
      <c r="U139" s="2"/>
      <c r="V139" s="2"/>
      <c r="W139" s="2"/>
      <c r="X139" s="2"/>
      <c r="Y139" s="2"/>
      <c r="Z139" s="2"/>
      <c r="AA139" s="2"/>
    </row>
    <row r="140" customFormat="false" ht="15.75" hidden="false" customHeight="false" outlineLevel="0" collapsed="false">
      <c r="A140" s="2"/>
      <c r="B140" s="2" t="s">
        <v>93</v>
      </c>
      <c r="C140" s="2" t="s">
        <v>78</v>
      </c>
      <c r="D140" s="2" t="s">
        <v>96</v>
      </c>
      <c r="E140" s="2" t="s">
        <v>78</v>
      </c>
      <c r="F140" s="2" t="s">
        <v>83</v>
      </c>
      <c r="G140" s="2"/>
      <c r="H140" s="2"/>
      <c r="I140" s="2" t="s">
        <v>96</v>
      </c>
      <c r="J140" s="2" t="s">
        <v>96</v>
      </c>
      <c r="K140" s="2" t="s">
        <v>66</v>
      </c>
      <c r="L140" s="2" t="s">
        <v>96</v>
      </c>
      <c r="M140" s="2" t="s">
        <v>96</v>
      </c>
      <c r="N140" s="2"/>
      <c r="O140" s="2"/>
      <c r="P140" s="2" t="s">
        <v>63</v>
      </c>
      <c r="Q140" s="2" t="s">
        <v>83</v>
      </c>
      <c r="R140" s="2" t="s">
        <v>89</v>
      </c>
      <c r="S140" s="2" t="s">
        <v>93</v>
      </c>
      <c r="T140" s="2" t="s">
        <v>81</v>
      </c>
      <c r="U140" s="2"/>
      <c r="V140" s="2"/>
      <c r="W140" s="2"/>
      <c r="X140" s="2"/>
      <c r="Y140" s="2"/>
      <c r="Z140" s="2"/>
      <c r="AA140" s="2"/>
    </row>
    <row r="141" customFormat="false" ht="15.75" hidden="false" customHeight="false" outlineLevel="0" collapsed="false">
      <c r="A141" s="2"/>
      <c r="B141" s="2" t="s">
        <v>78</v>
      </c>
      <c r="C141" s="2" t="s">
        <v>89</v>
      </c>
      <c r="D141" s="2" t="s">
        <v>83</v>
      </c>
      <c r="E141" s="2" t="s">
        <v>149</v>
      </c>
      <c r="F141" s="2" t="s">
        <v>147</v>
      </c>
      <c r="G141" s="2"/>
      <c r="H141" s="2"/>
      <c r="I141" s="2" t="s">
        <v>96</v>
      </c>
      <c r="J141" s="2" t="s">
        <v>63</v>
      </c>
      <c r="K141" s="2" t="s">
        <v>66</v>
      </c>
      <c r="L141" s="2" t="s">
        <v>96</v>
      </c>
      <c r="M141" s="2" t="s">
        <v>81</v>
      </c>
      <c r="N141" s="2"/>
      <c r="O141" s="2"/>
      <c r="P141" s="2" t="s">
        <v>81</v>
      </c>
      <c r="Q141" s="2" t="s">
        <v>93</v>
      </c>
      <c r="R141" s="2" t="s">
        <v>63</v>
      </c>
      <c r="S141" s="2" t="s">
        <v>78</v>
      </c>
      <c r="T141" s="2" t="s">
        <v>89</v>
      </c>
      <c r="U141" s="2"/>
      <c r="V141" s="2"/>
      <c r="W141" s="2"/>
      <c r="X141" s="2"/>
      <c r="Y141" s="2"/>
      <c r="Z141" s="2"/>
      <c r="AA141" s="2"/>
    </row>
    <row r="142" customFormat="false" ht="15.75" hidden="false" customHeight="false" outlineLevel="0" collapsed="false">
      <c r="A142" s="2"/>
      <c r="B142" s="2" t="s">
        <v>66</v>
      </c>
      <c r="C142" s="2" t="s">
        <v>81</v>
      </c>
      <c r="D142" s="2" t="s">
        <v>96</v>
      </c>
      <c r="E142" s="2" t="s">
        <v>66</v>
      </c>
      <c r="F142" s="2" t="s">
        <v>63</v>
      </c>
      <c r="G142" s="2"/>
      <c r="H142" s="2"/>
      <c r="I142" s="2" t="s">
        <v>96</v>
      </c>
      <c r="J142" s="2" t="s">
        <v>63</v>
      </c>
      <c r="K142" s="2" t="s">
        <v>72</v>
      </c>
      <c r="L142" s="2" t="s">
        <v>96</v>
      </c>
      <c r="M142" s="2" t="s">
        <v>81</v>
      </c>
      <c r="N142" s="2"/>
      <c r="O142" s="2"/>
      <c r="P142" s="2" t="s">
        <v>147</v>
      </c>
      <c r="Q142" s="2" t="s">
        <v>83</v>
      </c>
      <c r="R142" s="2" t="s">
        <v>147</v>
      </c>
      <c r="S142" s="2" t="s">
        <v>72</v>
      </c>
      <c r="T142" s="2" t="s">
        <v>147</v>
      </c>
      <c r="U142" s="2"/>
      <c r="V142" s="2"/>
      <c r="W142" s="2"/>
      <c r="X142" s="2"/>
      <c r="Y142" s="2"/>
      <c r="Z142" s="2"/>
      <c r="AA142" s="2"/>
    </row>
    <row r="143" customFormat="false" ht="15.75" hidden="false" customHeight="false" outlineLevel="0" collapsed="false">
      <c r="A143" s="2"/>
      <c r="B143" s="2" t="s">
        <v>66</v>
      </c>
      <c r="C143" s="2" t="s">
        <v>96</v>
      </c>
      <c r="D143" s="2" t="s">
        <v>81</v>
      </c>
      <c r="E143" s="2" t="s">
        <v>69</v>
      </c>
      <c r="F143" s="2" t="s">
        <v>69</v>
      </c>
      <c r="G143" s="2"/>
      <c r="H143" s="2"/>
      <c r="I143" s="2" t="s">
        <v>96</v>
      </c>
      <c r="J143" s="2" t="s">
        <v>63</v>
      </c>
      <c r="K143" s="2" t="s">
        <v>72</v>
      </c>
      <c r="L143" s="2" t="s">
        <v>96</v>
      </c>
      <c r="M143" s="2" t="s">
        <v>81</v>
      </c>
      <c r="N143" s="2"/>
      <c r="O143" s="2"/>
      <c r="P143" s="2" t="s">
        <v>63</v>
      </c>
      <c r="Q143" s="2" t="s">
        <v>83</v>
      </c>
      <c r="R143" s="2" t="s">
        <v>89</v>
      </c>
      <c r="S143" s="2" t="s">
        <v>72</v>
      </c>
      <c r="T143" s="2" t="s">
        <v>63</v>
      </c>
      <c r="U143" s="2"/>
      <c r="V143" s="2"/>
      <c r="W143" s="2"/>
      <c r="X143" s="2"/>
      <c r="Y143" s="2"/>
      <c r="Z143" s="2"/>
      <c r="AA143" s="2"/>
    </row>
    <row r="144" customFormat="false" ht="15.75" hidden="false" customHeight="false" outlineLevel="0" collapsed="false">
      <c r="A144" s="2"/>
      <c r="B144" s="2" t="s">
        <v>93</v>
      </c>
      <c r="C144" s="2" t="s">
        <v>96</v>
      </c>
      <c r="D144" s="2" t="s">
        <v>75</v>
      </c>
      <c r="E144" s="2" t="s">
        <v>72</v>
      </c>
      <c r="F144" s="2" t="s">
        <v>89</v>
      </c>
      <c r="G144" s="2"/>
      <c r="H144" s="2"/>
      <c r="I144" s="2" t="s">
        <v>63</v>
      </c>
      <c r="J144" s="2" t="s">
        <v>63</v>
      </c>
      <c r="K144" s="2" t="s">
        <v>72</v>
      </c>
      <c r="L144" s="2" t="s">
        <v>96</v>
      </c>
      <c r="M144" s="2" t="s">
        <v>81</v>
      </c>
      <c r="N144" s="2"/>
      <c r="O144" s="2"/>
      <c r="P144" s="2" t="s">
        <v>69</v>
      </c>
      <c r="Q144" s="2" t="s">
        <v>66</v>
      </c>
      <c r="R144" s="2" t="s">
        <v>75</v>
      </c>
      <c r="S144" s="2" t="s">
        <v>72</v>
      </c>
      <c r="T144" s="2" t="s">
        <v>81</v>
      </c>
      <c r="U144" s="2"/>
      <c r="V144" s="2"/>
      <c r="W144" s="2"/>
      <c r="X144" s="2"/>
      <c r="Y144" s="2"/>
      <c r="Z144" s="2"/>
      <c r="AA144" s="2"/>
    </row>
    <row r="145" customFormat="false" ht="15.75" hidden="false" customHeight="false" outlineLevel="0" collapsed="false">
      <c r="A145" s="2"/>
      <c r="B145" s="2" t="s">
        <v>75</v>
      </c>
      <c r="C145" s="2" t="s">
        <v>69</v>
      </c>
      <c r="D145" s="2" t="s">
        <v>83</v>
      </c>
      <c r="E145" s="2" t="s">
        <v>83</v>
      </c>
      <c r="F145" s="2" t="s">
        <v>69</v>
      </c>
      <c r="G145" s="2"/>
      <c r="H145" s="2"/>
      <c r="I145" s="2" t="s">
        <v>63</v>
      </c>
      <c r="J145" s="2" t="s">
        <v>78</v>
      </c>
      <c r="K145" s="2" t="s">
        <v>72</v>
      </c>
      <c r="L145" s="2" t="s">
        <v>96</v>
      </c>
      <c r="M145" s="2" t="s">
        <v>72</v>
      </c>
      <c r="N145" s="2"/>
      <c r="O145" s="2"/>
      <c r="P145" s="2" t="s">
        <v>63</v>
      </c>
      <c r="Q145" s="2" t="s">
        <v>78</v>
      </c>
      <c r="R145" s="2" t="s">
        <v>89</v>
      </c>
      <c r="S145" s="2" t="s">
        <v>66</v>
      </c>
      <c r="T145" s="2" t="s">
        <v>81</v>
      </c>
      <c r="U145" s="2"/>
      <c r="V145" s="2"/>
      <c r="W145" s="2"/>
      <c r="X145" s="2"/>
      <c r="Y145" s="2"/>
      <c r="Z145" s="2"/>
      <c r="AA145" s="2"/>
    </row>
    <row r="146" customFormat="false" ht="15.75" hidden="false" customHeight="false" outlineLevel="0" collapsed="false">
      <c r="A146" s="2"/>
      <c r="B146" s="2" t="s">
        <v>83</v>
      </c>
      <c r="C146" s="2" t="s">
        <v>83</v>
      </c>
      <c r="D146" s="2" t="s">
        <v>147</v>
      </c>
      <c r="E146" s="2" t="s">
        <v>149</v>
      </c>
      <c r="F146" s="2" t="s">
        <v>83</v>
      </c>
      <c r="G146" s="2"/>
      <c r="H146" s="2"/>
      <c r="I146" s="2" t="s">
        <v>63</v>
      </c>
      <c r="J146" s="2" t="s">
        <v>78</v>
      </c>
      <c r="K146" s="2" t="s">
        <v>96</v>
      </c>
      <c r="L146" s="2" t="s">
        <v>96</v>
      </c>
      <c r="M146" s="2" t="s">
        <v>72</v>
      </c>
      <c r="N146" s="2"/>
      <c r="O146" s="2"/>
      <c r="P146" s="2" t="s">
        <v>147</v>
      </c>
      <c r="Q146" s="2" t="s">
        <v>93</v>
      </c>
      <c r="R146" s="2" t="s">
        <v>147</v>
      </c>
      <c r="S146" s="2" t="s">
        <v>93</v>
      </c>
      <c r="T146" s="2" t="s">
        <v>147</v>
      </c>
      <c r="U146" s="2"/>
      <c r="V146" s="2"/>
      <c r="W146" s="2"/>
      <c r="X146" s="2"/>
      <c r="Y146" s="2"/>
      <c r="Z146" s="2"/>
      <c r="AA146" s="2"/>
    </row>
    <row r="147" customFormat="false" ht="15.75" hidden="false" customHeight="false" outlineLevel="0" collapsed="false">
      <c r="A147" s="2"/>
      <c r="B147" s="2" t="s">
        <v>89</v>
      </c>
      <c r="C147" s="2" t="s">
        <v>78</v>
      </c>
      <c r="D147" s="2" t="s">
        <v>66</v>
      </c>
      <c r="E147" s="2" t="s">
        <v>78</v>
      </c>
      <c r="F147" s="2" t="s">
        <v>147</v>
      </c>
      <c r="G147" s="2"/>
      <c r="H147" s="2"/>
      <c r="I147" s="2" t="s">
        <v>63</v>
      </c>
      <c r="J147" s="2" t="s">
        <v>78</v>
      </c>
      <c r="K147" s="2" t="s">
        <v>149</v>
      </c>
      <c r="L147" s="2" t="s">
        <v>69</v>
      </c>
      <c r="M147" s="2" t="s">
        <v>72</v>
      </c>
      <c r="N147" s="2"/>
      <c r="O147" s="2"/>
      <c r="P147" s="2" t="s">
        <v>75</v>
      </c>
      <c r="Q147" s="2" t="s">
        <v>78</v>
      </c>
      <c r="R147" s="2" t="s">
        <v>89</v>
      </c>
      <c r="S147" s="2" t="s">
        <v>93</v>
      </c>
      <c r="T147" s="2" t="s">
        <v>69</v>
      </c>
      <c r="U147" s="2"/>
      <c r="V147" s="2"/>
      <c r="W147" s="2"/>
      <c r="X147" s="2"/>
      <c r="Y147" s="2"/>
      <c r="Z147" s="2"/>
      <c r="AA147" s="2"/>
    </row>
    <row r="148" customFormat="false" ht="15.75" hidden="false" customHeight="false" outlineLevel="0" collapsed="false">
      <c r="A148" s="2"/>
      <c r="B148" s="2" t="s">
        <v>89</v>
      </c>
      <c r="C148" s="2" t="s">
        <v>75</v>
      </c>
      <c r="D148" s="2" t="s">
        <v>72</v>
      </c>
      <c r="E148" s="2" t="s">
        <v>75</v>
      </c>
      <c r="F148" s="2" t="s">
        <v>83</v>
      </c>
      <c r="G148" s="2"/>
      <c r="H148" s="2"/>
      <c r="I148" s="2" t="s">
        <v>78</v>
      </c>
      <c r="J148" s="2" t="s">
        <v>78</v>
      </c>
      <c r="K148" s="2" t="s">
        <v>96</v>
      </c>
      <c r="L148" s="2" t="s">
        <v>69</v>
      </c>
      <c r="M148" s="2" t="s">
        <v>72</v>
      </c>
      <c r="N148" s="2"/>
      <c r="O148" s="2"/>
      <c r="P148" s="2" t="s">
        <v>96</v>
      </c>
      <c r="Q148" s="2" t="s">
        <v>83</v>
      </c>
      <c r="R148" s="2" t="s">
        <v>75</v>
      </c>
      <c r="S148" s="2" t="s">
        <v>72</v>
      </c>
      <c r="T148" s="2" t="s">
        <v>81</v>
      </c>
      <c r="U148" s="2"/>
      <c r="V148" s="2"/>
      <c r="W148" s="2"/>
      <c r="X148" s="2"/>
      <c r="Y148" s="2"/>
      <c r="Z148" s="2"/>
      <c r="AA148" s="2"/>
    </row>
    <row r="149" customFormat="false" ht="15.75" hidden="false" customHeight="false" outlineLevel="0" collapsed="false">
      <c r="A149" s="2"/>
      <c r="B149" s="2" t="s">
        <v>66</v>
      </c>
      <c r="C149" s="2" t="s">
        <v>75</v>
      </c>
      <c r="D149" s="2" t="s">
        <v>89</v>
      </c>
      <c r="E149" s="2" t="s">
        <v>83</v>
      </c>
      <c r="F149" s="2" t="s">
        <v>72</v>
      </c>
      <c r="G149" s="2"/>
      <c r="H149" s="2"/>
      <c r="I149" s="2" t="s">
        <v>78</v>
      </c>
      <c r="J149" s="2" t="s">
        <v>93</v>
      </c>
      <c r="K149" s="2" t="s">
        <v>96</v>
      </c>
      <c r="L149" s="2" t="s">
        <v>69</v>
      </c>
      <c r="M149" s="2" t="s">
        <v>96</v>
      </c>
      <c r="N149" s="2"/>
      <c r="O149" s="2"/>
      <c r="P149" s="2" t="s">
        <v>63</v>
      </c>
      <c r="Q149" s="2" t="s">
        <v>93</v>
      </c>
      <c r="R149" s="2" t="s">
        <v>81</v>
      </c>
      <c r="S149" s="2" t="s">
        <v>66</v>
      </c>
      <c r="T149" s="2" t="s">
        <v>89</v>
      </c>
      <c r="U149" s="2"/>
      <c r="V149" s="2"/>
      <c r="W149" s="2"/>
      <c r="X149" s="2"/>
      <c r="Y149" s="2"/>
      <c r="Z149" s="2"/>
      <c r="AA149" s="2"/>
    </row>
    <row r="150" customFormat="false" ht="15.75" hidden="false" customHeight="false" outlineLevel="0" collapsed="false">
      <c r="A150" s="2"/>
      <c r="B150" s="2" t="s">
        <v>72</v>
      </c>
      <c r="C150" s="2" t="s">
        <v>75</v>
      </c>
      <c r="D150" s="2" t="s">
        <v>72</v>
      </c>
      <c r="E150" s="2" t="s">
        <v>69</v>
      </c>
      <c r="F150" s="2" t="s">
        <v>69</v>
      </c>
      <c r="G150" s="2"/>
      <c r="H150" s="2"/>
      <c r="I150" s="2" t="s">
        <v>78</v>
      </c>
      <c r="J150" s="2" t="s">
        <v>93</v>
      </c>
      <c r="K150" s="2" t="s">
        <v>96</v>
      </c>
      <c r="L150" s="2" t="s">
        <v>69</v>
      </c>
      <c r="M150" s="2" t="s">
        <v>96</v>
      </c>
      <c r="N150" s="2"/>
      <c r="O150" s="2"/>
      <c r="P150" s="2" t="s">
        <v>147</v>
      </c>
      <c r="Q150" s="2" t="s">
        <v>93</v>
      </c>
      <c r="R150" s="2" t="s">
        <v>147</v>
      </c>
      <c r="S150" s="2" t="s">
        <v>83</v>
      </c>
      <c r="T150" s="2" t="s">
        <v>147</v>
      </c>
      <c r="U150" s="2"/>
      <c r="V150" s="2"/>
      <c r="W150" s="2"/>
      <c r="X150" s="2"/>
      <c r="Y150" s="2"/>
      <c r="Z150" s="2"/>
      <c r="AA150" s="2"/>
    </row>
    <row r="151" customFormat="false" ht="15.75" hidden="false" customHeight="false" outlineLevel="0" collapsed="false">
      <c r="A151" s="2"/>
      <c r="B151" s="2" t="s">
        <v>69</v>
      </c>
      <c r="C151" s="2" t="s">
        <v>63</v>
      </c>
      <c r="D151" s="2" t="s">
        <v>83</v>
      </c>
      <c r="E151" s="2" t="s">
        <v>63</v>
      </c>
      <c r="F151" s="2" t="s">
        <v>83</v>
      </c>
      <c r="G151" s="2"/>
      <c r="H151" s="2"/>
      <c r="I151" s="2" t="s">
        <v>78</v>
      </c>
      <c r="J151" s="2" t="s">
        <v>93</v>
      </c>
      <c r="K151" s="2" t="s">
        <v>69</v>
      </c>
      <c r="L151" s="2" t="s">
        <v>89</v>
      </c>
      <c r="M151" s="2" t="s">
        <v>96</v>
      </c>
      <c r="N151" s="2"/>
      <c r="O151" s="2"/>
      <c r="P151" s="2" t="s">
        <v>81</v>
      </c>
      <c r="Q151" s="2" t="s">
        <v>93</v>
      </c>
      <c r="R151" s="2" t="s">
        <v>75</v>
      </c>
      <c r="S151" s="2" t="s">
        <v>72</v>
      </c>
      <c r="T151" s="2" t="s">
        <v>81</v>
      </c>
      <c r="U151" s="2"/>
      <c r="V151" s="2"/>
      <c r="W151" s="2"/>
      <c r="X151" s="2"/>
      <c r="Y151" s="2"/>
      <c r="Z151" s="2"/>
      <c r="AA151" s="2"/>
    </row>
    <row r="152" customFormat="false" ht="15.75" hidden="false" customHeight="false" outlineLevel="0" collapsed="false">
      <c r="A152" s="2"/>
      <c r="B152" s="2" t="s">
        <v>96</v>
      </c>
      <c r="C152" s="2" t="s">
        <v>78</v>
      </c>
      <c r="D152" s="2" t="s">
        <v>66</v>
      </c>
      <c r="E152" s="2" t="s">
        <v>83</v>
      </c>
      <c r="F152" s="2" t="s">
        <v>69</v>
      </c>
      <c r="G152" s="2"/>
      <c r="H152" s="2"/>
      <c r="I152" s="2" t="s">
        <v>72</v>
      </c>
      <c r="J152" s="2" t="s">
        <v>93</v>
      </c>
      <c r="K152" s="2" t="s">
        <v>69</v>
      </c>
      <c r="L152" s="2" t="s">
        <v>89</v>
      </c>
      <c r="M152" s="2" t="s">
        <v>96</v>
      </c>
      <c r="N152" s="2"/>
      <c r="O152" s="2"/>
      <c r="P152" s="2" t="s">
        <v>63</v>
      </c>
      <c r="Q152" s="2" t="s">
        <v>72</v>
      </c>
      <c r="R152" s="2" t="s">
        <v>63</v>
      </c>
      <c r="S152" s="2" t="s">
        <v>83</v>
      </c>
      <c r="T152" s="2" t="s">
        <v>81</v>
      </c>
      <c r="U152" s="2"/>
      <c r="V152" s="2"/>
      <c r="W152" s="2"/>
      <c r="X152" s="2"/>
      <c r="Y152" s="2"/>
      <c r="Z152" s="2"/>
      <c r="AA152" s="2"/>
    </row>
    <row r="153" customFormat="false" ht="15.75" hidden="false" customHeight="false" outlineLevel="0" collapsed="false">
      <c r="A153" s="2"/>
      <c r="B153" s="2" t="s">
        <v>81</v>
      </c>
      <c r="C153" s="2" t="s">
        <v>83</v>
      </c>
      <c r="D153" s="2" t="s">
        <v>63</v>
      </c>
      <c r="E153" s="2" t="s">
        <v>96</v>
      </c>
      <c r="F153" s="2" t="s">
        <v>63</v>
      </c>
      <c r="G153" s="2"/>
      <c r="H153" s="2"/>
      <c r="I153" s="2" t="s">
        <v>72</v>
      </c>
      <c r="J153" s="2" t="s">
        <v>96</v>
      </c>
      <c r="K153" s="2" t="s">
        <v>69</v>
      </c>
      <c r="L153" s="2" t="s">
        <v>89</v>
      </c>
      <c r="M153" s="2" t="s">
        <v>89</v>
      </c>
      <c r="N153" s="2"/>
      <c r="O153" s="2"/>
      <c r="P153" s="2" t="s">
        <v>75</v>
      </c>
      <c r="Q153" s="2" t="s">
        <v>93</v>
      </c>
      <c r="R153" s="2" t="s">
        <v>89</v>
      </c>
      <c r="S153" s="2" t="s">
        <v>66</v>
      </c>
      <c r="T153" s="2" t="s">
        <v>75</v>
      </c>
      <c r="U153" s="2"/>
      <c r="V153" s="2"/>
      <c r="W153" s="2"/>
      <c r="X153" s="2"/>
      <c r="Y153" s="2"/>
      <c r="Z153" s="2"/>
      <c r="AA153" s="2"/>
    </row>
    <row r="154" customFormat="false" ht="15.75" hidden="false" customHeight="false" outlineLevel="0" collapsed="false">
      <c r="A154" s="2"/>
      <c r="B154" s="2" t="s">
        <v>89</v>
      </c>
      <c r="C154" s="2" t="s">
        <v>93</v>
      </c>
      <c r="D154" s="2" t="s">
        <v>96</v>
      </c>
      <c r="E154" s="2" t="s">
        <v>63</v>
      </c>
      <c r="F154" s="2" t="s">
        <v>63</v>
      </c>
      <c r="G154" s="2"/>
      <c r="H154" s="2"/>
      <c r="I154" s="2" t="s">
        <v>72</v>
      </c>
      <c r="J154" s="2" t="s">
        <v>96</v>
      </c>
      <c r="K154" s="2" t="s">
        <v>69</v>
      </c>
      <c r="L154" s="2" t="s">
        <v>89</v>
      </c>
      <c r="M154" s="2" t="s">
        <v>89</v>
      </c>
      <c r="N154" s="2"/>
      <c r="O154" s="2"/>
      <c r="P154" s="2" t="s">
        <v>147</v>
      </c>
      <c r="Q154" s="2" t="s">
        <v>93</v>
      </c>
      <c r="R154" s="2" t="s">
        <v>147</v>
      </c>
      <c r="S154" s="2" t="s">
        <v>66</v>
      </c>
      <c r="T154" s="2" t="s">
        <v>147</v>
      </c>
      <c r="U154" s="2"/>
      <c r="V154" s="2"/>
      <c r="W154" s="2"/>
      <c r="X154" s="2"/>
      <c r="Y154" s="2"/>
      <c r="Z154" s="2"/>
      <c r="AA154" s="2"/>
    </row>
    <row r="155" customFormat="false" ht="15.75" hidden="false" customHeight="false" outlineLevel="0" collapsed="false">
      <c r="A155" s="2"/>
      <c r="B155" s="2" t="s">
        <v>89</v>
      </c>
      <c r="C155" s="2" t="s">
        <v>93</v>
      </c>
      <c r="D155" s="2" t="s">
        <v>75</v>
      </c>
      <c r="E155" s="2" t="s">
        <v>63</v>
      </c>
      <c r="F155" s="2" t="s">
        <v>63</v>
      </c>
      <c r="G155" s="2"/>
      <c r="H155" s="2"/>
      <c r="I155" s="2" t="s">
        <v>72</v>
      </c>
      <c r="J155" s="2" t="s">
        <v>96</v>
      </c>
      <c r="K155" s="2" t="s">
        <v>149</v>
      </c>
      <c r="L155" s="2" t="s">
        <v>93</v>
      </c>
      <c r="M155" s="2" t="s">
        <v>89</v>
      </c>
      <c r="N155" s="2"/>
      <c r="O155" s="2"/>
      <c r="P155" s="2" t="s">
        <v>96</v>
      </c>
      <c r="Q155" s="2" t="s">
        <v>78</v>
      </c>
      <c r="R155" s="2" t="s">
        <v>69</v>
      </c>
      <c r="S155" s="2" t="s">
        <v>83</v>
      </c>
      <c r="T155" s="2" t="s">
        <v>89</v>
      </c>
      <c r="U155" s="2"/>
      <c r="V155" s="2"/>
      <c r="W155" s="2"/>
      <c r="X155" s="2"/>
      <c r="Y155" s="2"/>
      <c r="Z155" s="2"/>
      <c r="AA155" s="2"/>
    </row>
    <row r="156" customFormat="false" ht="15.75" hidden="false" customHeight="false" outlineLevel="0" collapsed="false">
      <c r="A156" s="2"/>
      <c r="B156" s="2" t="s">
        <v>147</v>
      </c>
      <c r="C156" s="2" t="s">
        <v>78</v>
      </c>
      <c r="D156" s="2" t="s">
        <v>81</v>
      </c>
      <c r="E156" s="2" t="s">
        <v>93</v>
      </c>
      <c r="F156" s="2" t="s">
        <v>72</v>
      </c>
      <c r="G156" s="2"/>
      <c r="H156" s="2"/>
      <c r="I156" s="2" t="s">
        <v>75</v>
      </c>
      <c r="J156" s="2" t="s">
        <v>96</v>
      </c>
      <c r="K156" s="2" t="s">
        <v>75</v>
      </c>
      <c r="L156" s="2" t="s">
        <v>93</v>
      </c>
      <c r="M156" s="2" t="s">
        <v>89</v>
      </c>
      <c r="N156" s="2"/>
      <c r="O156" s="2"/>
      <c r="P156" s="2" t="s">
        <v>69</v>
      </c>
      <c r="Q156" s="2" t="s">
        <v>93</v>
      </c>
      <c r="R156" s="2" t="s">
        <v>81</v>
      </c>
      <c r="S156" s="2" t="s">
        <v>83</v>
      </c>
      <c r="T156" s="2" t="s">
        <v>96</v>
      </c>
      <c r="U156" s="2"/>
      <c r="V156" s="2"/>
      <c r="W156" s="2"/>
      <c r="X156" s="2"/>
      <c r="Y156" s="2"/>
      <c r="Z156" s="2"/>
      <c r="AA156" s="2"/>
    </row>
    <row r="157" customFormat="false" ht="15.75" hidden="false" customHeight="false" outlineLevel="0" collapsed="false">
      <c r="A157" s="2"/>
      <c r="B157" s="2" t="s">
        <v>89</v>
      </c>
      <c r="C157" s="2" t="s">
        <v>81</v>
      </c>
      <c r="D157" s="2" t="s">
        <v>66</v>
      </c>
      <c r="E157" s="2" t="s">
        <v>149</v>
      </c>
      <c r="F157" s="2" t="s">
        <v>72</v>
      </c>
      <c r="G157" s="2"/>
      <c r="H157" s="2"/>
      <c r="I157" s="2" t="s">
        <v>75</v>
      </c>
      <c r="J157" s="2" t="s">
        <v>81</v>
      </c>
      <c r="K157" s="2" t="s">
        <v>75</v>
      </c>
      <c r="L157" s="2" t="s">
        <v>93</v>
      </c>
      <c r="M157" s="2" t="s">
        <v>75</v>
      </c>
      <c r="N157" s="2"/>
      <c r="O157" s="2"/>
      <c r="P157" s="2" t="s">
        <v>63</v>
      </c>
      <c r="Q157" s="2" t="s">
        <v>78</v>
      </c>
      <c r="R157" s="2" t="s">
        <v>81</v>
      </c>
      <c r="S157" s="2" t="s">
        <v>83</v>
      </c>
      <c r="T157" s="2" t="s">
        <v>69</v>
      </c>
      <c r="U157" s="2"/>
      <c r="V157" s="2"/>
      <c r="W157" s="2"/>
      <c r="X157" s="2"/>
      <c r="Y157" s="2"/>
      <c r="Z157" s="2"/>
      <c r="AA157" s="2"/>
    </row>
    <row r="158" customFormat="false" ht="15.75" hidden="false" customHeight="false" outlineLevel="0" collapsed="false">
      <c r="A158" s="2"/>
      <c r="B158" s="2" t="s">
        <v>75</v>
      </c>
      <c r="C158" s="2" t="s">
        <v>89</v>
      </c>
      <c r="D158" s="2" t="s">
        <v>96</v>
      </c>
      <c r="E158" s="2" t="s">
        <v>149</v>
      </c>
      <c r="F158" s="2" t="s">
        <v>93</v>
      </c>
      <c r="G158" s="2"/>
      <c r="H158" s="2"/>
      <c r="I158" s="2" t="s">
        <v>75</v>
      </c>
      <c r="J158" s="2" t="s">
        <v>81</v>
      </c>
      <c r="K158" s="2" t="s">
        <v>75</v>
      </c>
      <c r="L158" s="2" t="s">
        <v>93</v>
      </c>
      <c r="M158" s="2" t="s">
        <v>75</v>
      </c>
      <c r="N158" s="2"/>
      <c r="O158" s="2"/>
      <c r="P158" s="2" t="s">
        <v>147</v>
      </c>
      <c r="Q158" s="2" t="s">
        <v>66</v>
      </c>
      <c r="R158" s="2" t="s">
        <v>147</v>
      </c>
      <c r="S158" s="2" t="s">
        <v>83</v>
      </c>
      <c r="T158" s="2" t="s">
        <v>147</v>
      </c>
      <c r="U158" s="2"/>
      <c r="V158" s="2"/>
      <c r="W158" s="2"/>
      <c r="X158" s="2"/>
      <c r="Y158" s="2"/>
      <c r="Z158" s="2"/>
      <c r="AA158" s="2"/>
    </row>
    <row r="159" customFormat="false" ht="15.75" hidden="false" customHeight="false" outlineLevel="0" collapsed="false">
      <c r="A159" s="2"/>
      <c r="B159" s="2" t="s">
        <v>69</v>
      </c>
      <c r="C159" s="2" t="s">
        <v>69</v>
      </c>
      <c r="D159" s="2" t="s">
        <v>72</v>
      </c>
      <c r="E159" s="2" t="s">
        <v>69</v>
      </c>
      <c r="F159" s="2" t="s">
        <v>89</v>
      </c>
      <c r="G159" s="2"/>
      <c r="H159" s="2"/>
      <c r="I159" s="2" t="s">
        <v>75</v>
      </c>
      <c r="J159" s="2" t="s">
        <v>81</v>
      </c>
      <c r="K159" s="2" t="s">
        <v>75</v>
      </c>
      <c r="L159" s="2" t="s">
        <v>93</v>
      </c>
      <c r="M159" s="2" t="s">
        <v>75</v>
      </c>
      <c r="N159" s="2"/>
      <c r="O159" s="2"/>
      <c r="P159" s="2" t="s">
        <v>63</v>
      </c>
      <c r="Q159" s="2" t="s">
        <v>93</v>
      </c>
      <c r="R159" s="2" t="s">
        <v>81</v>
      </c>
      <c r="S159" s="2" t="s">
        <v>83</v>
      </c>
      <c r="T159" s="2" t="s">
        <v>96</v>
      </c>
      <c r="U159" s="2"/>
      <c r="V159" s="2"/>
      <c r="W159" s="2"/>
      <c r="X159" s="2"/>
      <c r="Y159" s="2"/>
      <c r="Z159" s="2"/>
      <c r="AA159" s="2"/>
    </row>
    <row r="160" customFormat="false" ht="15.75" hidden="false" customHeight="false" outlineLevel="0" collapsed="false">
      <c r="A160" s="2"/>
      <c r="B160" s="2" t="s">
        <v>78</v>
      </c>
      <c r="C160" s="2" t="s">
        <v>75</v>
      </c>
      <c r="D160" s="2" t="s">
        <v>81</v>
      </c>
      <c r="E160" s="2" t="s">
        <v>66</v>
      </c>
      <c r="F160" s="2" t="s">
        <v>69</v>
      </c>
      <c r="G160" s="2"/>
      <c r="H160" s="2"/>
      <c r="I160" s="2" t="s">
        <v>89</v>
      </c>
      <c r="J160" s="2" t="s">
        <v>81</v>
      </c>
      <c r="K160" s="2" t="s">
        <v>78</v>
      </c>
      <c r="L160" s="2" t="s">
        <v>149</v>
      </c>
      <c r="M160" s="2" t="s">
        <v>75</v>
      </c>
      <c r="N160" s="2"/>
      <c r="O160" s="2"/>
      <c r="P160" s="2" t="s">
        <v>96</v>
      </c>
      <c r="Q160" s="2" t="s">
        <v>78</v>
      </c>
      <c r="R160" s="2" t="s">
        <v>63</v>
      </c>
      <c r="S160" s="2" t="s">
        <v>72</v>
      </c>
      <c r="T160" s="2" t="s">
        <v>96</v>
      </c>
      <c r="U160" s="2"/>
      <c r="V160" s="2"/>
      <c r="W160" s="2"/>
      <c r="X160" s="2"/>
      <c r="Y160" s="2"/>
      <c r="Z160" s="2"/>
      <c r="AA160" s="2"/>
    </row>
    <row r="161" customFormat="false" ht="15.75" hidden="false" customHeight="false" outlineLevel="0" collapsed="false">
      <c r="A161" s="2"/>
      <c r="B161" s="2" t="s">
        <v>63</v>
      </c>
      <c r="C161" s="2" t="s">
        <v>78</v>
      </c>
      <c r="D161" s="2" t="s">
        <v>63</v>
      </c>
      <c r="E161" s="2" t="s">
        <v>93</v>
      </c>
      <c r="F161" s="2" t="s">
        <v>93</v>
      </c>
      <c r="G161" s="2"/>
      <c r="H161" s="2"/>
      <c r="I161" s="2" t="s">
        <v>89</v>
      </c>
      <c r="J161" s="2" t="s">
        <v>96</v>
      </c>
      <c r="K161" s="2" t="s">
        <v>78</v>
      </c>
      <c r="L161" s="2" t="s">
        <v>93</v>
      </c>
      <c r="M161" s="2" t="s">
        <v>69</v>
      </c>
      <c r="N161" s="2"/>
      <c r="O161" s="2"/>
      <c r="P161" s="2" t="s">
        <v>96</v>
      </c>
      <c r="Q161" s="2" t="s">
        <v>78</v>
      </c>
      <c r="R161" s="2" t="s">
        <v>81</v>
      </c>
      <c r="S161" s="2" t="s">
        <v>93</v>
      </c>
      <c r="T161" s="2" t="s">
        <v>75</v>
      </c>
      <c r="U161" s="2"/>
      <c r="V161" s="2"/>
      <c r="W161" s="2"/>
      <c r="X161" s="2"/>
      <c r="Y161" s="2"/>
      <c r="Z161" s="2"/>
      <c r="AA161" s="2"/>
    </row>
    <row r="162" customFormat="false" ht="15.75" hidden="false" customHeight="false" outlineLevel="0" collapsed="false">
      <c r="A162" s="2"/>
      <c r="B162" s="2" t="s">
        <v>93</v>
      </c>
      <c r="C162" s="2" t="s">
        <v>81</v>
      </c>
      <c r="D162" s="2" t="s">
        <v>66</v>
      </c>
      <c r="E162" s="2" t="s">
        <v>78</v>
      </c>
      <c r="F162" s="2" t="s">
        <v>93</v>
      </c>
      <c r="G162" s="2"/>
      <c r="H162" s="2"/>
      <c r="I162" s="2" t="s">
        <v>89</v>
      </c>
      <c r="J162" s="2" t="s">
        <v>96</v>
      </c>
      <c r="K162" s="2" t="s">
        <v>78</v>
      </c>
      <c r="L162" s="2" t="s">
        <v>83</v>
      </c>
      <c r="M162" s="2" t="s">
        <v>69</v>
      </c>
      <c r="N162" s="2"/>
      <c r="O162" s="2"/>
      <c r="P162" s="2" t="s">
        <v>147</v>
      </c>
      <c r="Q162" s="2" t="s">
        <v>66</v>
      </c>
      <c r="R162" s="2" t="s">
        <v>147</v>
      </c>
      <c r="S162" s="2" t="s">
        <v>93</v>
      </c>
      <c r="T162" s="2" t="s">
        <v>147</v>
      </c>
      <c r="U162" s="2"/>
      <c r="V162" s="2"/>
      <c r="W162" s="2"/>
      <c r="X162" s="2"/>
      <c r="Y162" s="2"/>
      <c r="Z162" s="2"/>
      <c r="AA162" s="2"/>
    </row>
    <row r="163" customFormat="false" ht="15.75" hidden="false" customHeight="false" outlineLevel="0" collapsed="false">
      <c r="A163" s="2"/>
      <c r="B163" s="2" t="s">
        <v>93</v>
      </c>
      <c r="C163" s="2" t="s">
        <v>89</v>
      </c>
      <c r="D163" s="2" t="s">
        <v>81</v>
      </c>
      <c r="E163" s="2" t="s">
        <v>83</v>
      </c>
      <c r="F163" s="2" t="s">
        <v>93</v>
      </c>
      <c r="G163" s="2"/>
      <c r="H163" s="2"/>
      <c r="I163" s="2" t="s">
        <v>89</v>
      </c>
      <c r="J163" s="2" t="s">
        <v>96</v>
      </c>
      <c r="K163" s="2" t="s">
        <v>78</v>
      </c>
      <c r="L163" s="2" t="s">
        <v>83</v>
      </c>
      <c r="M163" s="2" t="s">
        <v>69</v>
      </c>
      <c r="N163" s="2"/>
      <c r="O163" s="2"/>
      <c r="P163" s="2" t="s">
        <v>89</v>
      </c>
      <c r="Q163" s="2" t="s">
        <v>93</v>
      </c>
      <c r="R163" s="2" t="s">
        <v>63</v>
      </c>
      <c r="S163" s="2" t="s">
        <v>72</v>
      </c>
      <c r="T163" s="2" t="s">
        <v>81</v>
      </c>
      <c r="U163" s="2"/>
      <c r="V163" s="2"/>
      <c r="W163" s="2"/>
      <c r="X163" s="2"/>
      <c r="Y163" s="2"/>
      <c r="Z163" s="2"/>
      <c r="AA163" s="2"/>
    </row>
    <row r="164" customFormat="false" ht="15.75" hidden="false" customHeight="false" outlineLevel="0" collapsed="false">
      <c r="A164" s="2"/>
      <c r="B164" s="2" t="s">
        <v>78</v>
      </c>
      <c r="C164" s="2" t="s">
        <v>75</v>
      </c>
      <c r="D164" s="2" t="s">
        <v>69</v>
      </c>
      <c r="E164" s="2" t="s">
        <v>96</v>
      </c>
      <c r="F164" s="2" t="s">
        <v>147</v>
      </c>
      <c r="G164" s="2"/>
      <c r="H164" s="2"/>
      <c r="I164" s="2" t="s">
        <v>81</v>
      </c>
      <c r="J164" s="2" t="s">
        <v>96</v>
      </c>
      <c r="K164" s="2" t="s">
        <v>96</v>
      </c>
      <c r="L164" s="2" t="s">
        <v>83</v>
      </c>
      <c r="M164" s="2" t="s">
        <v>69</v>
      </c>
      <c r="N164" s="2"/>
      <c r="O164" s="2"/>
      <c r="P164" s="2" t="s">
        <v>63</v>
      </c>
      <c r="Q164" s="2" t="s">
        <v>93</v>
      </c>
      <c r="R164" s="2" t="s">
        <v>69</v>
      </c>
      <c r="S164" s="2" t="s">
        <v>93</v>
      </c>
      <c r="T164" s="2" t="s">
        <v>81</v>
      </c>
      <c r="U164" s="2"/>
      <c r="V164" s="2"/>
      <c r="W164" s="2"/>
      <c r="X164" s="2"/>
      <c r="Y164" s="2"/>
      <c r="Z164" s="2"/>
      <c r="AA164" s="2"/>
    </row>
    <row r="165" customFormat="false" ht="15.75" hidden="false" customHeight="false" outlineLevel="0" collapsed="false">
      <c r="A165" s="2"/>
      <c r="B165" s="2" t="s">
        <v>89</v>
      </c>
      <c r="C165" s="2" t="s">
        <v>89</v>
      </c>
      <c r="D165" s="2" t="s">
        <v>63</v>
      </c>
      <c r="E165" s="2" t="s">
        <v>81</v>
      </c>
      <c r="F165" s="2" t="s">
        <v>96</v>
      </c>
      <c r="G165" s="2"/>
      <c r="H165" s="2"/>
      <c r="I165" s="2" t="s">
        <v>81</v>
      </c>
      <c r="J165" s="2" t="s">
        <v>83</v>
      </c>
      <c r="K165" s="2" t="s">
        <v>96</v>
      </c>
      <c r="L165" s="2" t="s">
        <v>83</v>
      </c>
      <c r="M165" s="2" t="s">
        <v>83</v>
      </c>
      <c r="N165" s="2"/>
      <c r="O165" s="2"/>
      <c r="P165" s="2" t="s">
        <v>96</v>
      </c>
      <c r="Q165" s="2" t="s">
        <v>66</v>
      </c>
      <c r="R165" s="2" t="s">
        <v>96</v>
      </c>
      <c r="S165" s="2" t="s">
        <v>78</v>
      </c>
      <c r="T165" s="2" t="s">
        <v>96</v>
      </c>
      <c r="U165" s="2"/>
      <c r="V165" s="2"/>
      <c r="W165" s="2"/>
      <c r="X165" s="2"/>
      <c r="Y165" s="2"/>
      <c r="Z165" s="2"/>
      <c r="AA165" s="2"/>
    </row>
    <row r="166" customFormat="false" ht="15.75" hidden="false" customHeight="false" outlineLevel="0" collapsed="false">
      <c r="A166" s="2"/>
      <c r="B166" s="2" t="s">
        <v>81</v>
      </c>
      <c r="C166" s="2" t="s">
        <v>96</v>
      </c>
      <c r="D166" s="2" t="s">
        <v>83</v>
      </c>
      <c r="E166" s="2" t="s">
        <v>78</v>
      </c>
      <c r="F166" s="2" t="s">
        <v>81</v>
      </c>
      <c r="G166" s="2"/>
      <c r="H166" s="2"/>
      <c r="I166" s="2" t="s">
        <v>81</v>
      </c>
      <c r="J166" s="2" t="s">
        <v>83</v>
      </c>
      <c r="K166" s="2" t="s">
        <v>96</v>
      </c>
      <c r="L166" s="2" t="s">
        <v>81</v>
      </c>
      <c r="M166" s="2" t="s">
        <v>83</v>
      </c>
      <c r="N166" s="2"/>
      <c r="O166" s="2"/>
      <c r="P166" s="2" t="s">
        <v>147</v>
      </c>
      <c r="Q166" s="2" t="s">
        <v>72</v>
      </c>
      <c r="R166" s="2" t="s">
        <v>147</v>
      </c>
      <c r="S166" s="2" t="s">
        <v>78</v>
      </c>
      <c r="T166" s="2" t="s">
        <v>147</v>
      </c>
      <c r="U166" s="2"/>
      <c r="V166" s="2"/>
      <c r="W166" s="2"/>
      <c r="X166" s="2"/>
      <c r="Y166" s="2"/>
      <c r="Z166" s="2"/>
      <c r="AA166" s="2"/>
    </row>
    <row r="167" customFormat="false" ht="15.75" hidden="false" customHeight="false" outlineLevel="0" collapsed="false">
      <c r="A167" s="2"/>
      <c r="B167" s="2" t="s">
        <v>72</v>
      </c>
      <c r="C167" s="2" t="s">
        <v>72</v>
      </c>
      <c r="D167" s="2" t="s">
        <v>93</v>
      </c>
      <c r="E167" s="2" t="s">
        <v>75</v>
      </c>
      <c r="F167" s="2" t="s">
        <v>75</v>
      </c>
      <c r="G167" s="2"/>
      <c r="H167" s="2"/>
      <c r="I167" s="2" t="s">
        <v>81</v>
      </c>
      <c r="J167" s="2" t="s">
        <v>83</v>
      </c>
      <c r="K167" s="2" t="s">
        <v>96</v>
      </c>
      <c r="L167" s="2" t="s">
        <v>81</v>
      </c>
      <c r="M167" s="2" t="s">
        <v>83</v>
      </c>
      <c r="N167" s="2"/>
      <c r="O167" s="2"/>
      <c r="P167" s="2" t="s">
        <v>96</v>
      </c>
      <c r="Q167" s="2" t="s">
        <v>66</v>
      </c>
      <c r="R167" s="2" t="s">
        <v>75</v>
      </c>
      <c r="S167" s="2" t="s">
        <v>78</v>
      </c>
      <c r="T167" s="2" t="s">
        <v>75</v>
      </c>
      <c r="U167" s="2"/>
      <c r="V167" s="2"/>
      <c r="W167" s="2"/>
      <c r="X167" s="2"/>
      <c r="Y167" s="2"/>
      <c r="Z167" s="2"/>
      <c r="AA167" s="2"/>
    </row>
    <row r="168" customFormat="false" ht="15.75" hidden="false" customHeight="false" outlineLevel="0" collapsed="false">
      <c r="A168" s="2"/>
      <c r="B168" s="2" t="s">
        <v>75</v>
      </c>
      <c r="C168" s="2" t="s">
        <v>93</v>
      </c>
      <c r="D168" s="2" t="s">
        <v>89</v>
      </c>
      <c r="E168" s="2" t="s">
        <v>69</v>
      </c>
      <c r="F168" s="2" t="s">
        <v>69</v>
      </c>
      <c r="G168" s="2"/>
      <c r="H168" s="2"/>
      <c r="I168" s="2" t="s">
        <v>75</v>
      </c>
      <c r="J168" s="2" t="s">
        <v>83</v>
      </c>
      <c r="K168" s="2" t="s">
        <v>78</v>
      </c>
      <c r="L168" s="2" t="s">
        <v>81</v>
      </c>
      <c r="M168" s="2" t="s">
        <v>83</v>
      </c>
      <c r="N168" s="2"/>
      <c r="O168" s="2"/>
      <c r="P168" s="2" t="s">
        <v>81</v>
      </c>
      <c r="Q168" s="2" t="s">
        <v>78</v>
      </c>
      <c r="R168" s="2" t="s">
        <v>63</v>
      </c>
      <c r="S168" s="2" t="s">
        <v>66</v>
      </c>
      <c r="T168" s="2" t="s">
        <v>63</v>
      </c>
      <c r="U168" s="2"/>
      <c r="V168" s="2"/>
      <c r="W168" s="2"/>
      <c r="X168" s="2"/>
      <c r="Y168" s="2"/>
      <c r="Z168" s="2"/>
      <c r="AA168" s="2"/>
    </row>
    <row r="169" customFormat="false" ht="15.75" hidden="false" customHeight="false" outlineLevel="0" collapsed="false">
      <c r="A169" s="2"/>
      <c r="B169" s="2" t="s">
        <v>75</v>
      </c>
      <c r="C169" s="2" t="s">
        <v>81</v>
      </c>
      <c r="D169" s="2" t="s">
        <v>72</v>
      </c>
      <c r="E169" s="2" t="s">
        <v>72</v>
      </c>
      <c r="F169" s="2" t="s">
        <v>66</v>
      </c>
      <c r="G169" s="2"/>
      <c r="H169" s="2"/>
      <c r="I169" s="2" t="s">
        <v>75</v>
      </c>
      <c r="J169" s="2" t="s">
        <v>75</v>
      </c>
      <c r="K169" s="2" t="s">
        <v>78</v>
      </c>
      <c r="L169" s="2" t="s">
        <v>81</v>
      </c>
      <c r="M169" s="2" t="s">
        <v>96</v>
      </c>
      <c r="N169" s="2"/>
      <c r="O169" s="2"/>
      <c r="P169" s="2" t="s">
        <v>75</v>
      </c>
      <c r="Q169" s="2" t="s">
        <v>78</v>
      </c>
      <c r="R169" s="2" t="s">
        <v>63</v>
      </c>
      <c r="S169" s="2" t="s">
        <v>78</v>
      </c>
      <c r="T169" s="2" t="s">
        <v>75</v>
      </c>
      <c r="U169" s="2"/>
      <c r="V169" s="2"/>
      <c r="W169" s="2"/>
      <c r="X169" s="2"/>
      <c r="Y169" s="2"/>
      <c r="Z169" s="2"/>
      <c r="AA169" s="2"/>
    </row>
    <row r="170" customFormat="false" ht="15.75" hidden="false" customHeight="false" outlineLevel="0" collapsed="false">
      <c r="A170" s="2"/>
      <c r="B170" s="2" t="s">
        <v>147</v>
      </c>
      <c r="C170" s="2" t="s">
        <v>81</v>
      </c>
      <c r="D170" s="2" t="s">
        <v>75</v>
      </c>
      <c r="E170" s="2" t="s">
        <v>78</v>
      </c>
      <c r="F170" s="2" t="s">
        <v>96</v>
      </c>
      <c r="G170" s="2"/>
      <c r="H170" s="2"/>
      <c r="I170" s="2" t="s">
        <v>75</v>
      </c>
      <c r="J170" s="2" t="s">
        <v>75</v>
      </c>
      <c r="K170" s="2" t="s">
        <v>78</v>
      </c>
      <c r="L170" s="2" t="s">
        <v>81</v>
      </c>
      <c r="M170" s="2" t="s">
        <v>96</v>
      </c>
      <c r="N170" s="2"/>
      <c r="O170" s="2"/>
      <c r="P170" s="2" t="s">
        <v>147</v>
      </c>
      <c r="Q170" s="2" t="s">
        <v>78</v>
      </c>
      <c r="R170" s="2" t="s">
        <v>147</v>
      </c>
      <c r="S170" s="2" t="s">
        <v>66</v>
      </c>
      <c r="T170" s="2" t="s">
        <v>147</v>
      </c>
      <c r="U170" s="2"/>
      <c r="V170" s="2"/>
      <c r="W170" s="2"/>
      <c r="X170" s="2"/>
      <c r="Y170" s="2"/>
      <c r="Z170" s="2"/>
      <c r="AA170" s="2"/>
    </row>
    <row r="171" customFormat="false" ht="15.75" hidden="false" customHeight="false" outlineLevel="0" collapsed="false">
      <c r="A171" s="2"/>
      <c r="B171" s="2" t="s">
        <v>89</v>
      </c>
      <c r="C171" s="2" t="s">
        <v>78</v>
      </c>
      <c r="D171" s="2" t="s">
        <v>75</v>
      </c>
      <c r="E171" s="2" t="s">
        <v>69</v>
      </c>
      <c r="F171" s="2" t="s">
        <v>66</v>
      </c>
      <c r="G171" s="2"/>
      <c r="H171" s="2"/>
      <c r="I171" s="2" t="s">
        <v>75</v>
      </c>
      <c r="J171" s="2" t="s">
        <v>78</v>
      </c>
      <c r="K171" s="2" t="s">
        <v>78</v>
      </c>
      <c r="L171" s="2" t="s">
        <v>81</v>
      </c>
      <c r="M171" s="2" t="s">
        <v>96</v>
      </c>
      <c r="N171" s="2"/>
      <c r="O171" s="2"/>
      <c r="P171" s="2" t="s">
        <v>75</v>
      </c>
      <c r="Q171" s="2" t="s">
        <v>72</v>
      </c>
      <c r="R171" s="2" t="s">
        <v>63</v>
      </c>
      <c r="S171" s="2" t="s">
        <v>93</v>
      </c>
      <c r="T171" s="2" t="s">
        <v>69</v>
      </c>
      <c r="U171" s="2"/>
      <c r="V171" s="2"/>
      <c r="W171" s="2"/>
      <c r="X171" s="2"/>
      <c r="Y171" s="2"/>
      <c r="Z171" s="2"/>
      <c r="AA171" s="2"/>
    </row>
    <row r="172" customFormat="false" ht="15.75" hidden="false" customHeight="false" outlineLevel="0" collapsed="false">
      <c r="A172" s="2"/>
      <c r="B172" s="2" t="s">
        <v>81</v>
      </c>
      <c r="C172" s="2" t="s">
        <v>96</v>
      </c>
      <c r="D172" s="2" t="s">
        <v>72</v>
      </c>
      <c r="E172" s="2" t="s">
        <v>81</v>
      </c>
      <c r="F172" s="2" t="s">
        <v>81</v>
      </c>
      <c r="G172" s="2"/>
      <c r="H172" s="2"/>
      <c r="I172" s="2" t="s">
        <v>96</v>
      </c>
      <c r="J172" s="2" t="s">
        <v>78</v>
      </c>
      <c r="K172" s="2" t="s">
        <v>81</v>
      </c>
      <c r="L172" s="2" t="s">
        <v>81</v>
      </c>
      <c r="M172" s="2" t="s">
        <v>96</v>
      </c>
      <c r="N172" s="2"/>
      <c r="O172" s="2"/>
      <c r="P172" s="2" t="s">
        <v>75</v>
      </c>
      <c r="Q172" s="2" t="s">
        <v>83</v>
      </c>
      <c r="R172" s="2" t="s">
        <v>89</v>
      </c>
      <c r="S172" s="2" t="s">
        <v>83</v>
      </c>
      <c r="T172" s="2" t="s">
        <v>89</v>
      </c>
      <c r="U172" s="2"/>
      <c r="V172" s="2"/>
      <c r="W172" s="2"/>
      <c r="X172" s="2"/>
      <c r="Y172" s="2"/>
      <c r="Z172" s="2"/>
      <c r="AA172" s="2"/>
    </row>
    <row r="173" customFormat="false" ht="15.75" hidden="false" customHeight="false" outlineLevel="0" collapsed="false">
      <c r="A173" s="2"/>
      <c r="B173" s="2" t="s">
        <v>89</v>
      </c>
      <c r="C173" s="2" t="s">
        <v>96</v>
      </c>
      <c r="D173" s="2" t="s">
        <v>96</v>
      </c>
      <c r="E173" s="2" t="s">
        <v>93</v>
      </c>
      <c r="F173" s="2" t="s">
        <v>89</v>
      </c>
      <c r="G173" s="2"/>
      <c r="H173" s="2"/>
      <c r="I173" s="2" t="s">
        <v>96</v>
      </c>
      <c r="J173" s="2" t="s">
        <v>78</v>
      </c>
      <c r="K173" s="2" t="s">
        <v>81</v>
      </c>
      <c r="L173" s="2" t="s">
        <v>81</v>
      </c>
      <c r="M173" s="2" t="s">
        <v>89</v>
      </c>
      <c r="N173" s="2"/>
      <c r="O173" s="2"/>
      <c r="P173" s="2" t="s">
        <v>69</v>
      </c>
      <c r="Q173" s="2" t="s">
        <v>78</v>
      </c>
      <c r="R173" s="2" t="s">
        <v>69</v>
      </c>
      <c r="S173" s="2" t="s">
        <v>78</v>
      </c>
      <c r="T173" s="2" t="s">
        <v>69</v>
      </c>
      <c r="U173" s="2"/>
      <c r="V173" s="2"/>
      <c r="W173" s="2"/>
      <c r="X173" s="2"/>
      <c r="Y173" s="2"/>
      <c r="Z173" s="2"/>
      <c r="AA173" s="2"/>
    </row>
    <row r="174" customFormat="false" ht="15.75" hidden="false" customHeight="false" outlineLevel="0" collapsed="false">
      <c r="A174" s="2"/>
      <c r="B174" s="2" t="s">
        <v>69</v>
      </c>
      <c r="C174" s="2" t="s">
        <v>93</v>
      </c>
      <c r="D174" s="2" t="s">
        <v>93</v>
      </c>
      <c r="E174" s="2" t="s">
        <v>96</v>
      </c>
      <c r="F174" s="2" t="s">
        <v>75</v>
      </c>
      <c r="G174" s="2"/>
      <c r="H174" s="2"/>
      <c r="I174" s="2" t="s">
        <v>96</v>
      </c>
      <c r="J174" s="2" t="s">
        <v>78</v>
      </c>
      <c r="K174" s="2" t="s">
        <v>81</v>
      </c>
      <c r="L174" s="2" t="s">
        <v>78</v>
      </c>
      <c r="M174" s="2" t="s">
        <v>89</v>
      </c>
      <c r="N174" s="2"/>
      <c r="O174" s="2"/>
      <c r="P174" s="2" t="s">
        <v>147</v>
      </c>
      <c r="Q174" s="2" t="s">
        <v>83</v>
      </c>
      <c r="R174" s="2" t="s">
        <v>147</v>
      </c>
      <c r="S174" s="2" t="s">
        <v>93</v>
      </c>
      <c r="T174" s="2" t="s">
        <v>147</v>
      </c>
      <c r="U174" s="2"/>
      <c r="V174" s="2"/>
      <c r="W174" s="2"/>
      <c r="X174" s="2"/>
      <c r="Y174" s="2"/>
      <c r="Z174" s="2"/>
      <c r="AA174" s="2"/>
    </row>
    <row r="175" customFormat="false" ht="15.75" hidden="false" customHeight="false" outlineLevel="0" collapsed="false">
      <c r="A175" s="2"/>
      <c r="B175" s="2" t="s">
        <v>83</v>
      </c>
      <c r="C175" s="2" t="s">
        <v>78</v>
      </c>
      <c r="D175" s="2" t="s">
        <v>69</v>
      </c>
      <c r="E175" s="2" t="s">
        <v>75</v>
      </c>
      <c r="F175" s="2" t="s">
        <v>89</v>
      </c>
      <c r="G175" s="2"/>
      <c r="H175" s="2"/>
      <c r="I175" s="2" t="s">
        <v>96</v>
      </c>
      <c r="J175" s="2" t="s">
        <v>83</v>
      </c>
      <c r="K175" s="2" t="s">
        <v>81</v>
      </c>
      <c r="L175" s="2" t="s">
        <v>78</v>
      </c>
      <c r="M175" s="2" t="s">
        <v>89</v>
      </c>
      <c r="N175" s="2"/>
      <c r="O175" s="2"/>
      <c r="P175" s="2" t="s">
        <v>81</v>
      </c>
      <c r="Q175" s="2" t="s">
        <v>93</v>
      </c>
      <c r="R175" s="2" t="s">
        <v>69</v>
      </c>
      <c r="S175" s="2" t="s">
        <v>78</v>
      </c>
      <c r="T175" s="2" t="s">
        <v>63</v>
      </c>
      <c r="U175" s="2"/>
      <c r="V175" s="2"/>
      <c r="W175" s="2"/>
      <c r="X175" s="2"/>
      <c r="Y175" s="2"/>
      <c r="Z175" s="2"/>
      <c r="AA175" s="2"/>
    </row>
    <row r="176" customFormat="false" ht="15.75" hidden="false" customHeight="false" outlineLevel="0" collapsed="false">
      <c r="A176" s="2"/>
      <c r="B176" s="2" t="s">
        <v>93</v>
      </c>
      <c r="C176" s="2" t="s">
        <v>78</v>
      </c>
      <c r="D176" s="2" t="s">
        <v>81</v>
      </c>
      <c r="E176" s="2" t="s">
        <v>96</v>
      </c>
      <c r="F176" s="2" t="s">
        <v>96</v>
      </c>
      <c r="G176" s="2"/>
      <c r="H176" s="2"/>
      <c r="I176" s="2" t="s">
        <v>89</v>
      </c>
      <c r="J176" s="2" t="s">
        <v>83</v>
      </c>
      <c r="K176" s="2" t="s">
        <v>149</v>
      </c>
      <c r="L176" s="2" t="s">
        <v>149</v>
      </c>
      <c r="M176" s="2" t="s">
        <v>89</v>
      </c>
      <c r="N176" s="2"/>
      <c r="O176" s="2"/>
      <c r="P176" s="2" t="s">
        <v>96</v>
      </c>
      <c r="Q176" s="2" t="s">
        <v>93</v>
      </c>
      <c r="R176" s="2" t="s">
        <v>81</v>
      </c>
      <c r="S176" s="2" t="s">
        <v>93</v>
      </c>
      <c r="T176" s="2" t="s">
        <v>89</v>
      </c>
      <c r="U176" s="2"/>
      <c r="V176" s="2"/>
      <c r="W176" s="2"/>
      <c r="X176" s="2"/>
      <c r="Y176" s="2"/>
      <c r="Z176" s="2"/>
      <c r="AA176" s="2"/>
    </row>
    <row r="177" customFormat="false" ht="15.75" hidden="false" customHeight="false" outlineLevel="0" collapsed="false">
      <c r="A177" s="2"/>
      <c r="B177" s="2" t="s">
        <v>75</v>
      </c>
      <c r="C177" s="2" t="s">
        <v>72</v>
      </c>
      <c r="D177" s="2" t="s">
        <v>147</v>
      </c>
      <c r="E177" s="2" t="s">
        <v>96</v>
      </c>
      <c r="F177" s="2" t="s">
        <v>66</v>
      </c>
      <c r="G177" s="2"/>
      <c r="H177" s="2"/>
      <c r="I177" s="2" t="s">
        <v>89</v>
      </c>
      <c r="J177" s="2" t="s">
        <v>83</v>
      </c>
      <c r="K177" s="2" t="s">
        <v>83</v>
      </c>
      <c r="L177" s="2" t="s">
        <v>78</v>
      </c>
      <c r="M177" s="2" t="s">
        <v>78</v>
      </c>
      <c r="N177" s="2"/>
      <c r="O177" s="2"/>
      <c r="P177" s="2" t="s">
        <v>63</v>
      </c>
      <c r="Q177" s="2" t="s">
        <v>72</v>
      </c>
      <c r="R177" s="2" t="s">
        <v>63</v>
      </c>
      <c r="S177" s="2" t="s">
        <v>83</v>
      </c>
      <c r="T177" s="2" t="s">
        <v>75</v>
      </c>
      <c r="U177" s="2"/>
      <c r="V177" s="2"/>
      <c r="W177" s="2"/>
      <c r="X177" s="2"/>
      <c r="Y177" s="2"/>
      <c r="Z177" s="2"/>
      <c r="AA177" s="2"/>
    </row>
    <row r="178" customFormat="false" ht="15.75" hidden="false" customHeight="false" outlineLevel="0" collapsed="false">
      <c r="A178" s="2"/>
      <c r="B178" s="2" t="s">
        <v>72</v>
      </c>
      <c r="C178" s="2" t="s">
        <v>66</v>
      </c>
      <c r="D178" s="2" t="s">
        <v>78</v>
      </c>
      <c r="E178" s="2" t="s">
        <v>66</v>
      </c>
      <c r="F178" s="2" t="s">
        <v>78</v>
      </c>
      <c r="G178" s="2"/>
      <c r="H178" s="2"/>
      <c r="I178" s="2" t="s">
        <v>89</v>
      </c>
      <c r="J178" s="2" t="s">
        <v>83</v>
      </c>
      <c r="K178" s="2" t="s">
        <v>83</v>
      </c>
      <c r="L178" s="2" t="s">
        <v>78</v>
      </c>
      <c r="M178" s="2" t="s">
        <v>78</v>
      </c>
      <c r="N178" s="2"/>
      <c r="O178" s="2"/>
      <c r="P178" s="2" t="s">
        <v>147</v>
      </c>
      <c r="Q178" s="2" t="s">
        <v>72</v>
      </c>
      <c r="R178" s="2" t="s">
        <v>147</v>
      </c>
      <c r="S178" s="2" t="s">
        <v>72</v>
      </c>
      <c r="T178" s="2" t="s">
        <v>147</v>
      </c>
      <c r="U178" s="2"/>
      <c r="V178" s="2"/>
      <c r="W178" s="2"/>
      <c r="X178" s="2"/>
      <c r="Y178" s="2"/>
      <c r="Z178" s="2"/>
      <c r="AA178" s="2"/>
    </row>
    <row r="179" customFormat="false" ht="15.75" hidden="false" customHeight="false" outlineLevel="0" collapsed="false">
      <c r="A179" s="2"/>
      <c r="B179" s="2" t="s">
        <v>83</v>
      </c>
      <c r="C179" s="2" t="s">
        <v>89</v>
      </c>
      <c r="D179" s="2" t="s">
        <v>149</v>
      </c>
      <c r="E179" s="2" t="s">
        <v>69</v>
      </c>
      <c r="F179" s="2" t="s">
        <v>93</v>
      </c>
      <c r="G179" s="2"/>
      <c r="H179" s="2"/>
      <c r="I179" s="2" t="s">
        <v>89</v>
      </c>
      <c r="J179" s="2" t="s">
        <v>81</v>
      </c>
      <c r="K179" s="2" t="s">
        <v>83</v>
      </c>
      <c r="L179" s="2" t="s">
        <v>81</v>
      </c>
      <c r="M179" s="2" t="s">
        <v>78</v>
      </c>
      <c r="N179" s="2"/>
      <c r="O179" s="2"/>
      <c r="P179" s="2" t="s">
        <v>75</v>
      </c>
      <c r="Q179" s="2" t="s">
        <v>72</v>
      </c>
      <c r="R179" s="2" t="s">
        <v>81</v>
      </c>
      <c r="S179" s="2" t="s">
        <v>93</v>
      </c>
      <c r="T179" s="2" t="s">
        <v>69</v>
      </c>
      <c r="U179" s="2"/>
      <c r="V179" s="2"/>
      <c r="W179" s="2"/>
      <c r="X179" s="2"/>
      <c r="Y179" s="2"/>
      <c r="Z179" s="2"/>
      <c r="AA179" s="2"/>
    </row>
    <row r="180" customFormat="false" ht="15.75" hidden="false" customHeight="false" outlineLevel="0" collapsed="false">
      <c r="A180" s="2"/>
      <c r="B180" s="2" t="s">
        <v>78</v>
      </c>
      <c r="C180" s="2" t="s">
        <v>96</v>
      </c>
      <c r="D180" s="2" t="s">
        <v>89</v>
      </c>
      <c r="E180" s="2" t="s">
        <v>63</v>
      </c>
      <c r="F180" s="2" t="s">
        <v>89</v>
      </c>
      <c r="G180" s="2"/>
      <c r="H180" s="2"/>
      <c r="I180" s="2" t="s">
        <v>83</v>
      </c>
      <c r="J180" s="2" t="s">
        <v>81</v>
      </c>
      <c r="K180" s="2" t="s">
        <v>149</v>
      </c>
      <c r="L180" s="2" t="s">
        <v>81</v>
      </c>
      <c r="M180" s="2" t="s">
        <v>78</v>
      </c>
      <c r="N180" s="2"/>
      <c r="O180" s="2"/>
      <c r="P180" s="2" t="s">
        <v>81</v>
      </c>
      <c r="Q180" s="2" t="s">
        <v>78</v>
      </c>
      <c r="R180" s="2" t="s">
        <v>81</v>
      </c>
      <c r="S180" s="2" t="s">
        <v>66</v>
      </c>
      <c r="T180" s="2" t="s">
        <v>89</v>
      </c>
      <c r="U180" s="2"/>
      <c r="V180" s="2"/>
      <c r="W180" s="2"/>
      <c r="X180" s="2"/>
      <c r="Y180" s="2"/>
      <c r="Z180" s="2"/>
      <c r="AA180" s="2"/>
    </row>
    <row r="181" customFormat="false" ht="15.75" hidden="false" customHeight="false" outlineLevel="0" collapsed="false">
      <c r="A181" s="2"/>
      <c r="B181" s="2" t="s">
        <v>66</v>
      </c>
      <c r="C181" s="2" t="s">
        <v>149</v>
      </c>
      <c r="D181" s="2" t="s">
        <v>83</v>
      </c>
      <c r="E181" s="2" t="s">
        <v>83</v>
      </c>
      <c r="F181" s="2" t="s">
        <v>78</v>
      </c>
      <c r="G181" s="2"/>
      <c r="H181" s="2"/>
      <c r="I181" s="2" t="s">
        <v>83</v>
      </c>
      <c r="J181" s="2" t="s">
        <v>81</v>
      </c>
      <c r="K181" s="2" t="s">
        <v>83</v>
      </c>
      <c r="L181" s="2" t="s">
        <v>81</v>
      </c>
      <c r="M181" s="2" t="s">
        <v>78</v>
      </c>
      <c r="N181" s="2"/>
      <c r="O181" s="2"/>
      <c r="P181" s="2" t="s">
        <v>75</v>
      </c>
      <c r="Q181" s="2" t="s">
        <v>83</v>
      </c>
      <c r="R181" s="2" t="s">
        <v>89</v>
      </c>
      <c r="S181" s="2" t="s">
        <v>72</v>
      </c>
      <c r="T181" s="2" t="s">
        <v>81</v>
      </c>
      <c r="U181" s="2"/>
      <c r="V181" s="2"/>
      <c r="W181" s="2"/>
      <c r="X181" s="2"/>
      <c r="Y181" s="2"/>
      <c r="Z181" s="2"/>
      <c r="AA181" s="2"/>
    </row>
    <row r="182" customFormat="false" ht="15.75" hidden="false" customHeight="false" outlineLevel="0" collapsed="false">
      <c r="A182" s="2"/>
      <c r="B182" s="2" t="s">
        <v>93</v>
      </c>
      <c r="C182" s="2" t="s">
        <v>96</v>
      </c>
      <c r="D182" s="2" t="s">
        <v>149</v>
      </c>
      <c r="E182" s="2" t="s">
        <v>83</v>
      </c>
      <c r="F182" s="2" t="s">
        <v>81</v>
      </c>
      <c r="G182" s="2"/>
      <c r="H182" s="2"/>
      <c r="I182" s="2" t="s">
        <v>83</v>
      </c>
      <c r="J182" s="2" t="s">
        <v>81</v>
      </c>
      <c r="K182" s="2" t="s">
        <v>89</v>
      </c>
      <c r="L182" s="2" t="s">
        <v>81</v>
      </c>
      <c r="M182" s="2" t="s">
        <v>78</v>
      </c>
      <c r="N182" s="2"/>
      <c r="O182" s="2"/>
      <c r="P182" s="2" t="s">
        <v>147</v>
      </c>
      <c r="Q182" s="2"/>
      <c r="R182" s="2" t="s">
        <v>147</v>
      </c>
      <c r="S182" s="2"/>
      <c r="T182" s="2" t="s">
        <v>147</v>
      </c>
      <c r="U182" s="2"/>
      <c r="V182" s="2"/>
      <c r="W182" s="2"/>
      <c r="X182" s="2"/>
      <c r="Y182" s="2"/>
      <c r="Z182" s="2"/>
      <c r="AA182" s="2"/>
    </row>
    <row r="183" customFormat="false" ht="15.75" hidden="false" customHeight="false" outlineLevel="0" collapsed="false">
      <c r="A183" s="2"/>
      <c r="B183" s="2" t="s">
        <v>89</v>
      </c>
      <c r="C183" s="2" t="s">
        <v>93</v>
      </c>
      <c r="D183" s="2" t="s">
        <v>149</v>
      </c>
      <c r="E183" s="2" t="s">
        <v>81</v>
      </c>
      <c r="F183" s="2" t="s">
        <v>63</v>
      </c>
      <c r="G183" s="2"/>
      <c r="H183" s="2"/>
      <c r="I183" s="2" t="s">
        <v>83</v>
      </c>
      <c r="J183" s="2" t="s">
        <v>93</v>
      </c>
      <c r="K183" s="2" t="s">
        <v>89</v>
      </c>
      <c r="L183" s="2" t="s">
        <v>72</v>
      </c>
      <c r="M183" s="2" t="s">
        <v>78</v>
      </c>
      <c r="N183" s="2"/>
      <c r="O183" s="2"/>
      <c r="P183" s="2" t="s">
        <v>81</v>
      </c>
      <c r="Q183" s="2"/>
      <c r="R183" s="2" t="s">
        <v>75</v>
      </c>
      <c r="S183" s="2"/>
      <c r="T183" s="2" t="s">
        <v>89</v>
      </c>
      <c r="U183" s="2"/>
      <c r="V183" s="2"/>
      <c r="W183" s="2"/>
      <c r="X183" s="2"/>
      <c r="Y183" s="2"/>
      <c r="Z183" s="2"/>
      <c r="AA183" s="2"/>
    </row>
    <row r="184" customFormat="false" ht="15.75" hidden="false" customHeight="false" outlineLevel="0" collapsed="false">
      <c r="A184" s="2"/>
      <c r="B184" s="2" t="s">
        <v>96</v>
      </c>
      <c r="C184" s="2" t="s">
        <v>89</v>
      </c>
      <c r="D184" s="2" t="s">
        <v>75</v>
      </c>
      <c r="E184" s="2" t="s">
        <v>89</v>
      </c>
      <c r="F184" s="2" t="s">
        <v>72</v>
      </c>
      <c r="G184" s="2"/>
      <c r="H184" s="2"/>
      <c r="I184" s="2" t="s">
        <v>66</v>
      </c>
      <c r="J184" s="2" t="s">
        <v>93</v>
      </c>
      <c r="K184" s="2" t="s">
        <v>89</v>
      </c>
      <c r="L184" s="2" t="s">
        <v>72</v>
      </c>
      <c r="M184" s="2" t="s">
        <v>78</v>
      </c>
      <c r="N184" s="2"/>
      <c r="O184" s="2"/>
      <c r="P184" s="2" t="s">
        <v>69</v>
      </c>
      <c r="Q184" s="2"/>
      <c r="R184" s="2" t="s">
        <v>75</v>
      </c>
      <c r="S184" s="2"/>
      <c r="T184" s="2" t="s">
        <v>75</v>
      </c>
      <c r="U184" s="2"/>
      <c r="V184" s="2"/>
      <c r="W184" s="2"/>
      <c r="X184" s="2"/>
      <c r="Y184" s="2"/>
      <c r="Z184" s="2"/>
      <c r="AA184" s="2"/>
    </row>
    <row r="185" customFormat="false" ht="15.75" hidden="false" customHeight="false" outlineLevel="0" collapsed="false">
      <c r="A185" s="2"/>
      <c r="B185" s="2" t="s">
        <v>75</v>
      </c>
      <c r="C185" s="2" t="s">
        <v>89</v>
      </c>
      <c r="D185" s="2" t="s">
        <v>93</v>
      </c>
      <c r="E185" s="2" t="s">
        <v>93</v>
      </c>
      <c r="F185" s="2" t="s">
        <v>69</v>
      </c>
      <c r="G185" s="2"/>
      <c r="H185" s="2"/>
      <c r="I185" s="2" t="s">
        <v>66</v>
      </c>
      <c r="J185" s="2" t="s">
        <v>93</v>
      </c>
      <c r="K185" s="2" t="s">
        <v>89</v>
      </c>
      <c r="L185" s="2" t="s">
        <v>72</v>
      </c>
      <c r="M185" s="2" t="s">
        <v>96</v>
      </c>
      <c r="N185" s="2"/>
      <c r="O185" s="2"/>
      <c r="P185" s="2" t="s">
        <v>81</v>
      </c>
      <c r="Q185" s="2"/>
      <c r="R185" s="2" t="s">
        <v>63</v>
      </c>
      <c r="S185" s="2"/>
      <c r="T185" s="2" t="s">
        <v>81</v>
      </c>
      <c r="U185" s="2"/>
      <c r="V185" s="2"/>
      <c r="W185" s="2"/>
      <c r="X185" s="2"/>
      <c r="Y185" s="2"/>
      <c r="Z185" s="2"/>
      <c r="AA185" s="2"/>
    </row>
    <row r="186" customFormat="false" ht="15.75" hidden="false" customHeight="false" outlineLevel="0" collapsed="false">
      <c r="A186" s="2"/>
      <c r="B186" s="2" t="s">
        <v>78</v>
      </c>
      <c r="C186" s="2" t="s">
        <v>75</v>
      </c>
      <c r="D186" s="2" t="s">
        <v>72</v>
      </c>
      <c r="E186" s="2" t="s">
        <v>72</v>
      </c>
      <c r="F186" s="2" t="s">
        <v>96</v>
      </c>
      <c r="G186" s="2"/>
      <c r="H186" s="2"/>
      <c r="I186" s="2" t="s">
        <v>66</v>
      </c>
      <c r="J186" s="2" t="s">
        <v>93</v>
      </c>
      <c r="K186" s="2" t="s">
        <v>89</v>
      </c>
      <c r="L186" s="2" t="s">
        <v>72</v>
      </c>
      <c r="M186" s="2" t="s">
        <v>96</v>
      </c>
      <c r="N186" s="2"/>
      <c r="O186" s="2"/>
      <c r="P186" s="2" t="s">
        <v>147</v>
      </c>
      <c r="Q186" s="2"/>
      <c r="R186" s="2" t="s">
        <v>147</v>
      </c>
      <c r="S186" s="2"/>
      <c r="T186" s="2" t="s">
        <v>147</v>
      </c>
      <c r="U186" s="2"/>
      <c r="V186" s="2"/>
      <c r="W186" s="2"/>
      <c r="X186" s="2"/>
      <c r="Y186" s="2"/>
      <c r="Z186" s="2"/>
      <c r="AA186" s="2"/>
    </row>
    <row r="187" customFormat="false" ht="15.75" hidden="false" customHeight="false" outlineLevel="0" collapsed="false">
      <c r="A187" s="2"/>
      <c r="B187" s="2" t="s">
        <v>78</v>
      </c>
      <c r="C187" s="2" t="s">
        <v>83</v>
      </c>
      <c r="D187" s="2" t="s">
        <v>89</v>
      </c>
      <c r="E187" s="2" t="s">
        <v>63</v>
      </c>
      <c r="F187" s="2" t="s">
        <v>78</v>
      </c>
      <c r="G187" s="2"/>
      <c r="H187" s="2"/>
      <c r="I187" s="2" t="s">
        <v>66</v>
      </c>
      <c r="J187" s="2" t="s">
        <v>83</v>
      </c>
      <c r="K187" s="2" t="s">
        <v>89</v>
      </c>
      <c r="L187" s="2" t="s">
        <v>63</v>
      </c>
      <c r="M187" s="2" t="s">
        <v>96</v>
      </c>
      <c r="N187" s="2"/>
      <c r="O187" s="2"/>
      <c r="P187" s="2" t="s">
        <v>96</v>
      </c>
      <c r="Q187" s="2"/>
      <c r="R187" s="2" t="s">
        <v>96</v>
      </c>
      <c r="S187" s="2"/>
      <c r="T187" s="2" t="s">
        <v>81</v>
      </c>
      <c r="U187" s="2"/>
      <c r="V187" s="2"/>
      <c r="W187" s="2"/>
      <c r="X187" s="2"/>
      <c r="Y187" s="2"/>
      <c r="Z187" s="2"/>
      <c r="AA187" s="2"/>
    </row>
    <row r="188" customFormat="false" ht="15.75" hidden="false" customHeight="false" outlineLevel="0" collapsed="false">
      <c r="A188" s="2"/>
      <c r="B188" s="2" t="s">
        <v>89</v>
      </c>
      <c r="C188" s="2" t="s">
        <v>72</v>
      </c>
      <c r="D188" s="2" t="s">
        <v>69</v>
      </c>
      <c r="E188" s="2" t="s">
        <v>81</v>
      </c>
      <c r="F188" s="2" t="s">
        <v>66</v>
      </c>
      <c r="G188" s="2"/>
      <c r="H188" s="2"/>
      <c r="I188" s="2" t="s">
        <v>89</v>
      </c>
      <c r="J188" s="2" t="s">
        <v>83</v>
      </c>
      <c r="K188" s="2" t="s">
        <v>89</v>
      </c>
      <c r="L188" s="2" t="s">
        <v>83</v>
      </c>
      <c r="M188" s="2" t="s">
        <v>96</v>
      </c>
      <c r="N188" s="2"/>
      <c r="O188" s="2"/>
      <c r="P188" s="2" t="s">
        <v>89</v>
      </c>
      <c r="Q188" s="2"/>
      <c r="R188" s="2" t="s">
        <v>69</v>
      </c>
      <c r="S188" s="2"/>
      <c r="T188" s="2" t="s">
        <v>69</v>
      </c>
      <c r="U188" s="2"/>
      <c r="V188" s="2"/>
      <c r="W188" s="2"/>
      <c r="X188" s="2"/>
      <c r="Y188" s="2"/>
      <c r="Z188" s="2"/>
      <c r="AA188" s="2"/>
    </row>
    <row r="189" customFormat="false" ht="15.75" hidden="false" customHeight="false" outlineLevel="0" collapsed="false">
      <c r="A189" s="2"/>
      <c r="B189" s="2" t="s">
        <v>69</v>
      </c>
      <c r="C189" s="2" t="s">
        <v>89</v>
      </c>
      <c r="D189" s="2" t="s">
        <v>69</v>
      </c>
      <c r="E189" s="2" t="s">
        <v>63</v>
      </c>
      <c r="F189" s="2" t="s">
        <v>89</v>
      </c>
      <c r="G189" s="2"/>
      <c r="H189" s="2"/>
      <c r="I189" s="2" t="s">
        <v>89</v>
      </c>
      <c r="J189" s="2" t="s">
        <v>83</v>
      </c>
      <c r="K189" s="2" t="s">
        <v>89</v>
      </c>
      <c r="L189" s="2" t="s">
        <v>83</v>
      </c>
      <c r="M189" s="2" t="s">
        <v>75</v>
      </c>
      <c r="N189" s="2"/>
      <c r="O189" s="2"/>
      <c r="P189" s="2" t="s">
        <v>69</v>
      </c>
      <c r="Q189" s="2"/>
      <c r="R189" s="2" t="s">
        <v>69</v>
      </c>
      <c r="S189" s="2"/>
      <c r="T189" s="2" t="s">
        <v>75</v>
      </c>
      <c r="U189" s="2"/>
      <c r="V189" s="2"/>
      <c r="W189" s="2"/>
      <c r="X189" s="2"/>
      <c r="Y189" s="2"/>
      <c r="Z189" s="2"/>
      <c r="AA189" s="2"/>
    </row>
    <row r="190" customFormat="false" ht="15.75" hidden="false" customHeight="false" outlineLevel="0" collapsed="false">
      <c r="A190" s="2"/>
      <c r="B190" s="2" t="s">
        <v>93</v>
      </c>
      <c r="C190" s="2" t="s">
        <v>81</v>
      </c>
      <c r="D190" s="2" t="s">
        <v>69</v>
      </c>
      <c r="E190" s="2" t="s">
        <v>75</v>
      </c>
      <c r="F190" s="2" t="s">
        <v>78</v>
      </c>
      <c r="G190" s="2"/>
      <c r="H190" s="2"/>
      <c r="I190" s="2" t="s">
        <v>89</v>
      </c>
      <c r="J190" s="2" t="s">
        <v>83</v>
      </c>
      <c r="K190" s="2" t="s">
        <v>66</v>
      </c>
      <c r="L190" s="2" t="s">
        <v>83</v>
      </c>
      <c r="M190" s="2" t="s">
        <v>75</v>
      </c>
      <c r="N190" s="2"/>
      <c r="O190" s="2"/>
      <c r="P190" s="2" t="s">
        <v>147</v>
      </c>
      <c r="Q190" s="2"/>
      <c r="R190" s="2" t="s">
        <v>147</v>
      </c>
      <c r="S190" s="2"/>
      <c r="T190" s="2" t="s">
        <v>147</v>
      </c>
      <c r="U190" s="2"/>
      <c r="V190" s="2"/>
      <c r="W190" s="2"/>
      <c r="X190" s="2"/>
      <c r="Y190" s="2"/>
      <c r="Z190" s="2"/>
      <c r="AA190" s="2"/>
    </row>
    <row r="191" customFormat="false" ht="15.75" hidden="false" customHeight="false" outlineLevel="0" collapsed="false">
      <c r="A191" s="2"/>
      <c r="B191" s="2" t="s">
        <v>78</v>
      </c>
      <c r="C191" s="2" t="s">
        <v>83</v>
      </c>
      <c r="D191" s="2" t="s">
        <v>69</v>
      </c>
      <c r="E191" s="2" t="s">
        <v>66</v>
      </c>
      <c r="F191" s="2" t="s">
        <v>78</v>
      </c>
      <c r="G191" s="2"/>
      <c r="H191" s="2"/>
      <c r="I191" s="2" t="s">
        <v>89</v>
      </c>
      <c r="J191" s="2" t="s">
        <v>89</v>
      </c>
      <c r="K191" s="2" t="s">
        <v>66</v>
      </c>
      <c r="L191" s="2" t="s">
        <v>83</v>
      </c>
      <c r="M191" s="2" t="s">
        <v>75</v>
      </c>
      <c r="N191" s="2"/>
      <c r="O191" s="2"/>
      <c r="P191" s="2" t="s">
        <v>81</v>
      </c>
      <c r="Q191" s="2"/>
      <c r="R191" s="2" t="s">
        <v>63</v>
      </c>
      <c r="S191" s="2"/>
      <c r="T191" s="2" t="s">
        <v>69</v>
      </c>
      <c r="U191" s="2"/>
      <c r="V191" s="2"/>
      <c r="W191" s="2"/>
      <c r="X191" s="2"/>
      <c r="Y191" s="2"/>
      <c r="Z191" s="2"/>
      <c r="AA191" s="2"/>
    </row>
    <row r="192" customFormat="false" ht="15.75" hidden="false" customHeight="false" outlineLevel="0" collapsed="false">
      <c r="A192" s="2"/>
      <c r="B192" s="2" t="s">
        <v>66</v>
      </c>
      <c r="C192" s="2" t="s">
        <v>75</v>
      </c>
      <c r="D192" s="2" t="s">
        <v>93</v>
      </c>
      <c r="E192" s="2" t="s">
        <v>81</v>
      </c>
      <c r="F192" s="2" t="s">
        <v>83</v>
      </c>
      <c r="G192" s="2"/>
      <c r="H192" s="2"/>
      <c r="I192" s="2" t="s">
        <v>63</v>
      </c>
      <c r="J192" s="2" t="s">
        <v>89</v>
      </c>
      <c r="K192" s="2" t="s">
        <v>66</v>
      </c>
      <c r="L192" s="2" t="s">
        <v>75</v>
      </c>
      <c r="M192" s="2" t="s">
        <v>75</v>
      </c>
      <c r="N192" s="2"/>
      <c r="O192" s="2"/>
      <c r="P192" s="2" t="s">
        <v>63</v>
      </c>
      <c r="Q192" s="2"/>
      <c r="R192" s="2" t="s">
        <v>96</v>
      </c>
      <c r="S192" s="2"/>
      <c r="T192" s="2" t="s">
        <v>63</v>
      </c>
      <c r="U192" s="2"/>
      <c r="V192" s="2"/>
      <c r="W192" s="2"/>
      <c r="X192" s="2"/>
      <c r="Y192" s="2"/>
      <c r="Z192" s="2"/>
      <c r="AA192" s="2"/>
    </row>
    <row r="193" customFormat="false" ht="15.75" hidden="false" customHeight="false" outlineLevel="0" collapsed="false">
      <c r="A193" s="2"/>
      <c r="B193" s="2" t="s">
        <v>75</v>
      </c>
      <c r="C193" s="2" t="s">
        <v>89</v>
      </c>
      <c r="D193" s="2" t="s">
        <v>93</v>
      </c>
      <c r="E193" s="2" t="s">
        <v>83</v>
      </c>
      <c r="F193" s="2" t="s">
        <v>83</v>
      </c>
      <c r="G193" s="2"/>
      <c r="H193" s="2"/>
      <c r="I193" s="2" t="s">
        <v>63</v>
      </c>
      <c r="J193" s="2" t="s">
        <v>89</v>
      </c>
      <c r="K193" s="2" t="s">
        <v>66</v>
      </c>
      <c r="L193" s="2" t="s">
        <v>75</v>
      </c>
      <c r="M193" s="2" t="s">
        <v>93</v>
      </c>
      <c r="N193" s="2"/>
      <c r="O193" s="2"/>
      <c r="P193" s="2" t="s">
        <v>89</v>
      </c>
      <c r="Q193" s="2"/>
      <c r="R193" s="2" t="s">
        <v>96</v>
      </c>
      <c r="S193" s="2"/>
      <c r="T193" s="2" t="s">
        <v>89</v>
      </c>
      <c r="U193" s="2"/>
      <c r="V193" s="2"/>
      <c r="W193" s="2"/>
      <c r="X193" s="2"/>
      <c r="Y193" s="2"/>
      <c r="Z193" s="2"/>
      <c r="AA193" s="2"/>
    </row>
    <row r="194" customFormat="false" ht="15.75" hidden="false" customHeight="false" outlineLevel="0" collapsed="false">
      <c r="A194" s="2"/>
      <c r="B194" s="2" t="s">
        <v>66</v>
      </c>
      <c r="C194" s="2" t="s">
        <v>81</v>
      </c>
      <c r="D194" s="2" t="s">
        <v>72</v>
      </c>
      <c r="E194" s="2" t="s">
        <v>75</v>
      </c>
      <c r="F194" s="2" t="s">
        <v>96</v>
      </c>
      <c r="G194" s="2"/>
      <c r="H194" s="2"/>
      <c r="I194" s="2" t="s">
        <v>63</v>
      </c>
      <c r="J194" s="2" t="s">
        <v>89</v>
      </c>
      <c r="K194" s="2" t="s">
        <v>96</v>
      </c>
      <c r="L194" s="2" t="s">
        <v>78</v>
      </c>
      <c r="M194" s="2" t="s">
        <v>93</v>
      </c>
      <c r="N194" s="2"/>
      <c r="O194" s="2"/>
      <c r="P194" s="2" t="s">
        <v>147</v>
      </c>
      <c r="Q194" s="2"/>
      <c r="R194" s="2" t="s">
        <v>147</v>
      </c>
      <c r="S194" s="2"/>
      <c r="T194" s="2" t="s">
        <v>147</v>
      </c>
      <c r="U194" s="2"/>
      <c r="V194" s="2"/>
      <c r="W194" s="2"/>
      <c r="X194" s="2"/>
      <c r="Y194" s="2"/>
      <c r="Z194" s="2"/>
      <c r="AA194" s="2"/>
    </row>
    <row r="195" customFormat="false" ht="15.75" hidden="false" customHeight="false" outlineLevel="0" collapsed="false">
      <c r="A195" s="2"/>
      <c r="B195" s="2" t="s">
        <v>81</v>
      </c>
      <c r="C195" s="2" t="s">
        <v>72</v>
      </c>
      <c r="D195" s="2" t="s">
        <v>96</v>
      </c>
      <c r="E195" s="2" t="s">
        <v>75</v>
      </c>
      <c r="F195" s="2" t="s">
        <v>89</v>
      </c>
      <c r="G195" s="2"/>
      <c r="H195" s="2"/>
      <c r="I195" s="2" t="s">
        <v>63</v>
      </c>
      <c r="J195" s="2" t="s">
        <v>69</v>
      </c>
      <c r="K195" s="2" t="s">
        <v>96</v>
      </c>
      <c r="L195" s="2" t="s">
        <v>78</v>
      </c>
      <c r="M195" s="2" t="s">
        <v>93</v>
      </c>
      <c r="N195" s="2"/>
      <c r="O195" s="2"/>
      <c r="P195" s="2" t="s">
        <v>75</v>
      </c>
      <c r="Q195" s="2"/>
      <c r="R195" s="2" t="s">
        <v>75</v>
      </c>
      <c r="S195" s="2"/>
      <c r="T195" s="2" t="s">
        <v>96</v>
      </c>
      <c r="U195" s="2"/>
      <c r="V195" s="2"/>
      <c r="W195" s="2"/>
      <c r="X195" s="2"/>
      <c r="Y195" s="2"/>
      <c r="Z195" s="2"/>
      <c r="AA195" s="2"/>
    </row>
    <row r="196" customFormat="false" ht="15.75" hidden="false" customHeight="false" outlineLevel="0" collapsed="false">
      <c r="A196" s="2"/>
      <c r="B196" s="2" t="s">
        <v>69</v>
      </c>
      <c r="C196" s="2" t="s">
        <v>96</v>
      </c>
      <c r="D196" s="2" t="s">
        <v>96</v>
      </c>
      <c r="E196" s="2" t="s">
        <v>78</v>
      </c>
      <c r="F196" s="2" t="s">
        <v>69</v>
      </c>
      <c r="G196" s="2"/>
      <c r="H196" s="2"/>
      <c r="I196" s="2" t="s">
        <v>81</v>
      </c>
      <c r="J196" s="2" t="s">
        <v>69</v>
      </c>
      <c r="K196" s="2" t="s">
        <v>96</v>
      </c>
      <c r="L196" s="2" t="s">
        <v>78</v>
      </c>
      <c r="M196" s="2" t="s">
        <v>93</v>
      </c>
      <c r="N196" s="2"/>
      <c r="O196" s="2"/>
      <c r="P196" s="2" t="s">
        <v>75</v>
      </c>
      <c r="Q196" s="2"/>
      <c r="R196" s="2" t="s">
        <v>89</v>
      </c>
      <c r="S196" s="2"/>
      <c r="T196" s="2" t="s">
        <v>63</v>
      </c>
      <c r="U196" s="2"/>
      <c r="V196" s="2"/>
      <c r="W196" s="2"/>
      <c r="X196" s="2"/>
      <c r="Y196" s="2"/>
      <c r="Z196" s="2"/>
      <c r="AA196" s="2"/>
    </row>
    <row r="197" customFormat="false" ht="15.75" hidden="false" customHeight="false" outlineLevel="0" collapsed="false">
      <c r="A197" s="2"/>
      <c r="B197" s="2" t="s">
        <v>78</v>
      </c>
      <c r="C197" s="2" t="s">
        <v>78</v>
      </c>
      <c r="D197" s="2" t="s">
        <v>89</v>
      </c>
      <c r="E197" s="2" t="s">
        <v>83</v>
      </c>
      <c r="F197" s="2" t="s">
        <v>66</v>
      </c>
      <c r="G197" s="2"/>
      <c r="H197" s="2"/>
      <c r="I197" s="2" t="s">
        <v>81</v>
      </c>
      <c r="J197" s="2" t="s">
        <v>96</v>
      </c>
      <c r="K197" s="2" t="s">
        <v>96</v>
      </c>
      <c r="L197" s="2" t="s">
        <v>78</v>
      </c>
      <c r="M197" s="2" t="s">
        <v>93</v>
      </c>
      <c r="N197" s="2"/>
      <c r="O197" s="2"/>
      <c r="P197" s="2" t="s">
        <v>96</v>
      </c>
      <c r="Q197" s="2"/>
      <c r="R197" s="2" t="s">
        <v>96</v>
      </c>
      <c r="S197" s="2"/>
      <c r="T197" s="2" t="s">
        <v>63</v>
      </c>
      <c r="U197" s="2"/>
      <c r="V197" s="2"/>
      <c r="W197" s="2"/>
      <c r="X197" s="2"/>
      <c r="Y197" s="2"/>
      <c r="Z197" s="2"/>
      <c r="AA197" s="2"/>
    </row>
    <row r="198" customFormat="false" ht="15.75" hidden="false" customHeight="false" outlineLevel="0" collapsed="false">
      <c r="A198" s="2"/>
      <c r="B198" s="2" t="s">
        <v>83</v>
      </c>
      <c r="C198" s="2" t="s">
        <v>72</v>
      </c>
      <c r="D198" s="2" t="s">
        <v>96</v>
      </c>
      <c r="E198" s="2" t="s">
        <v>96</v>
      </c>
      <c r="F198" s="2" t="s">
        <v>78</v>
      </c>
      <c r="G198" s="2"/>
      <c r="H198" s="2"/>
      <c r="I198" s="2" t="s">
        <v>81</v>
      </c>
      <c r="J198" s="2" t="s">
        <v>96</v>
      </c>
      <c r="K198" s="2" t="s">
        <v>63</v>
      </c>
      <c r="L198" s="2" t="s">
        <v>66</v>
      </c>
      <c r="M198" s="2" t="s">
        <v>93</v>
      </c>
      <c r="N198" s="2"/>
      <c r="O198" s="2"/>
      <c r="P198" s="2" t="s">
        <v>147</v>
      </c>
      <c r="Q198" s="2"/>
      <c r="R198" s="2" t="s">
        <v>147</v>
      </c>
      <c r="S198" s="2"/>
      <c r="T198" s="2" t="s">
        <v>147</v>
      </c>
      <c r="U198" s="2"/>
      <c r="V198" s="2"/>
      <c r="W198" s="2"/>
      <c r="X198" s="2"/>
      <c r="Y198" s="2"/>
      <c r="Z198" s="2"/>
      <c r="AA198" s="2"/>
    </row>
    <row r="199" customFormat="false" ht="15.75" hidden="false" customHeight="false" outlineLevel="0" collapsed="false">
      <c r="A199" s="2"/>
      <c r="B199" s="2" t="s">
        <v>147</v>
      </c>
      <c r="C199" s="2" t="s">
        <v>75</v>
      </c>
      <c r="D199" s="2" t="s">
        <v>93</v>
      </c>
      <c r="E199" s="2" t="s">
        <v>93</v>
      </c>
      <c r="F199" s="2" t="s">
        <v>75</v>
      </c>
      <c r="G199" s="2"/>
      <c r="H199" s="2"/>
      <c r="I199" s="2" t="s">
        <v>81</v>
      </c>
      <c r="J199" s="2" t="s">
        <v>96</v>
      </c>
      <c r="K199" s="2" t="s">
        <v>63</v>
      </c>
      <c r="L199" s="2" t="s">
        <v>66</v>
      </c>
      <c r="M199" s="2" t="s">
        <v>93</v>
      </c>
      <c r="N199" s="2"/>
      <c r="O199" s="2"/>
      <c r="P199" s="2" t="s">
        <v>69</v>
      </c>
      <c r="Q199" s="2"/>
      <c r="R199" s="2" t="s">
        <v>96</v>
      </c>
      <c r="S199" s="2"/>
      <c r="T199" s="2" t="s">
        <v>96</v>
      </c>
      <c r="U199" s="2"/>
      <c r="V199" s="2"/>
      <c r="W199" s="2"/>
      <c r="X199" s="2"/>
      <c r="Y199" s="2"/>
      <c r="Z199" s="2"/>
      <c r="AA199" s="2"/>
    </row>
    <row r="200" customFormat="false" ht="15.75" hidden="false" customHeight="false" outlineLevel="0" collapsed="false">
      <c r="A200" s="2"/>
      <c r="B200" s="2" t="s">
        <v>96</v>
      </c>
      <c r="C200" s="2" t="s">
        <v>81</v>
      </c>
      <c r="D200" s="2" t="s">
        <v>96</v>
      </c>
      <c r="E200" s="2" t="s">
        <v>83</v>
      </c>
      <c r="F200" s="2" t="s">
        <v>63</v>
      </c>
      <c r="G200" s="2"/>
      <c r="H200" s="2"/>
      <c r="I200" s="2" t="s">
        <v>81</v>
      </c>
      <c r="J200" s="2" t="s">
        <v>96</v>
      </c>
      <c r="K200" s="2" t="s">
        <v>63</v>
      </c>
      <c r="L200" s="2" t="s">
        <v>66</v>
      </c>
      <c r="M200" s="2" t="s">
        <v>93</v>
      </c>
      <c r="N200" s="2"/>
      <c r="O200" s="2"/>
      <c r="P200" s="2" t="s">
        <v>69</v>
      </c>
      <c r="Q200" s="2"/>
      <c r="R200" s="2" t="s">
        <v>69</v>
      </c>
      <c r="S200" s="2"/>
      <c r="T200" s="2" t="s">
        <v>75</v>
      </c>
      <c r="U200" s="2"/>
      <c r="V200" s="2"/>
      <c r="W200" s="2"/>
      <c r="X200" s="2"/>
      <c r="Y200" s="2"/>
      <c r="Z200" s="2"/>
      <c r="AA200" s="2"/>
    </row>
    <row r="201" customFormat="false" ht="15.75" hidden="false" customHeight="false" outlineLevel="0" collapsed="false">
      <c r="A201" s="2"/>
      <c r="B201" s="2" t="s">
        <v>66</v>
      </c>
      <c r="C201" s="2" t="s">
        <v>78</v>
      </c>
      <c r="D201" s="2" t="s">
        <v>69</v>
      </c>
      <c r="E201" s="2" t="s">
        <v>89</v>
      </c>
      <c r="F201" s="2" t="s">
        <v>72</v>
      </c>
      <c r="G201" s="2"/>
      <c r="H201" s="2"/>
      <c r="I201" s="2" t="s">
        <v>81</v>
      </c>
      <c r="J201" s="2" t="s">
        <v>69</v>
      </c>
      <c r="K201" s="2" t="s">
        <v>63</v>
      </c>
      <c r="L201" s="2" t="s">
        <v>66</v>
      </c>
      <c r="M201" s="2" t="s">
        <v>83</v>
      </c>
      <c r="N201" s="2"/>
      <c r="O201" s="2"/>
      <c r="P201" s="2" t="s">
        <v>89</v>
      </c>
      <c r="Q201" s="2"/>
      <c r="R201" s="2" t="s">
        <v>81</v>
      </c>
      <c r="S201" s="2"/>
      <c r="T201" s="2" t="s">
        <v>96</v>
      </c>
      <c r="U201" s="2"/>
      <c r="V201" s="2"/>
      <c r="W201" s="2"/>
      <c r="X201" s="2"/>
      <c r="Y201" s="2"/>
      <c r="Z201" s="2"/>
      <c r="AA201" s="2"/>
    </row>
    <row r="202" customFormat="false" ht="15.75" hidden="false" customHeight="false" outlineLevel="0" collapsed="false">
      <c r="A202" s="2"/>
      <c r="B202" s="2" t="s">
        <v>63</v>
      </c>
      <c r="C202" s="2" t="s">
        <v>63</v>
      </c>
      <c r="D202" s="2" t="s">
        <v>89</v>
      </c>
      <c r="E202" s="2" t="s">
        <v>96</v>
      </c>
      <c r="F202" s="2" t="s">
        <v>75</v>
      </c>
      <c r="G202" s="2"/>
      <c r="H202" s="2"/>
      <c r="I202" s="2" t="s">
        <v>81</v>
      </c>
      <c r="J202" s="2" t="s">
        <v>69</v>
      </c>
      <c r="K202" s="2" t="s">
        <v>89</v>
      </c>
      <c r="L202" s="2" t="s">
        <v>78</v>
      </c>
      <c r="M202" s="2" t="s">
        <v>83</v>
      </c>
      <c r="N202" s="2"/>
      <c r="O202" s="2"/>
      <c r="P202" s="2"/>
      <c r="Q202" s="2"/>
      <c r="R202" s="2"/>
      <c r="S202" s="2"/>
      <c r="T202" s="2"/>
      <c r="U202" s="2"/>
      <c r="V202" s="2"/>
      <c r="W202" s="2"/>
      <c r="X202" s="2"/>
      <c r="Y202" s="2"/>
      <c r="Z202" s="2"/>
      <c r="AA202" s="2"/>
    </row>
    <row r="203" customFormat="false" ht="15.75" hidden="false" customHeight="false" outlineLevel="0" collapsed="false">
      <c r="A203" s="2"/>
      <c r="B203" s="2" t="s">
        <v>96</v>
      </c>
      <c r="C203" s="2" t="s">
        <v>96</v>
      </c>
      <c r="D203" s="2" t="s">
        <v>66</v>
      </c>
      <c r="E203" s="2" t="s">
        <v>81</v>
      </c>
      <c r="F203" s="2" t="s">
        <v>93</v>
      </c>
      <c r="G203" s="2"/>
      <c r="H203" s="2"/>
      <c r="I203" s="2" t="s">
        <v>81</v>
      </c>
      <c r="J203" s="2" t="s">
        <v>69</v>
      </c>
      <c r="K203" s="2" t="s">
        <v>89</v>
      </c>
      <c r="L203" s="2" t="s">
        <v>78</v>
      </c>
      <c r="M203" s="2" t="s">
        <v>83</v>
      </c>
      <c r="N203" s="2"/>
      <c r="O203" s="2"/>
      <c r="P203" s="2"/>
      <c r="Q203" s="2"/>
      <c r="R203" s="2"/>
      <c r="S203" s="2"/>
      <c r="T203" s="2"/>
      <c r="U203" s="2"/>
      <c r="V203" s="2"/>
      <c r="W203" s="2"/>
      <c r="X203" s="2"/>
      <c r="Y203" s="2"/>
      <c r="Z203" s="2"/>
      <c r="AA203" s="2"/>
    </row>
    <row r="204" customFormat="false" ht="15.75" hidden="false" customHeight="false" outlineLevel="0" collapsed="false">
      <c r="A204" s="2"/>
      <c r="B204" s="2" t="s">
        <v>81</v>
      </c>
      <c r="C204" s="2" t="s">
        <v>81</v>
      </c>
      <c r="D204" s="2" t="s">
        <v>81</v>
      </c>
      <c r="E204" s="2" t="s">
        <v>93</v>
      </c>
      <c r="F204" s="2" t="s">
        <v>83</v>
      </c>
      <c r="G204" s="2"/>
      <c r="H204" s="2"/>
      <c r="I204" s="2" t="s">
        <v>89</v>
      </c>
      <c r="J204" s="2" t="s">
        <v>69</v>
      </c>
      <c r="K204" s="2" t="s">
        <v>89</v>
      </c>
      <c r="L204" s="2" t="s">
        <v>78</v>
      </c>
      <c r="M204" s="2" t="s">
        <v>83</v>
      </c>
      <c r="N204" s="2"/>
      <c r="O204" s="2"/>
      <c r="P204" s="2"/>
      <c r="Q204" s="2"/>
      <c r="R204" s="2"/>
      <c r="S204" s="2"/>
      <c r="T204" s="2"/>
      <c r="U204" s="2"/>
      <c r="V204" s="2"/>
      <c r="W204" s="2"/>
      <c r="X204" s="2"/>
      <c r="Y204" s="2"/>
      <c r="Z204" s="2"/>
      <c r="AA204" s="2"/>
    </row>
    <row r="205" customFormat="false" ht="15.75" hidden="false" customHeight="false" outlineLevel="0" collapsed="false">
      <c r="A205" s="2"/>
      <c r="B205" s="2" t="s">
        <v>96</v>
      </c>
      <c r="C205" s="2" t="s">
        <v>72</v>
      </c>
      <c r="D205" s="2" t="s">
        <v>93</v>
      </c>
      <c r="E205" s="2" t="s">
        <v>66</v>
      </c>
      <c r="F205" s="2" t="s">
        <v>147</v>
      </c>
      <c r="G205" s="2"/>
      <c r="H205" s="2"/>
      <c r="I205" s="2" t="s">
        <v>89</v>
      </c>
      <c r="J205" s="2" t="s">
        <v>66</v>
      </c>
      <c r="K205" s="2" t="s">
        <v>89</v>
      </c>
      <c r="L205" s="2" t="s">
        <v>78</v>
      </c>
      <c r="M205" s="2" t="s">
        <v>96</v>
      </c>
      <c r="N205" s="2"/>
      <c r="O205" s="2"/>
      <c r="P205" s="2"/>
      <c r="Q205" s="2"/>
      <c r="R205" s="2"/>
      <c r="S205" s="2"/>
      <c r="T205" s="2"/>
      <c r="U205" s="2"/>
      <c r="V205" s="2"/>
      <c r="W205" s="2"/>
      <c r="X205" s="2"/>
      <c r="Y205" s="2"/>
      <c r="Z205" s="2"/>
      <c r="AA205" s="2"/>
    </row>
    <row r="206" customFormat="false" ht="15.75" hidden="false" customHeight="false" outlineLevel="0" collapsed="false">
      <c r="A206" s="2"/>
      <c r="B206" s="2" t="s">
        <v>75</v>
      </c>
      <c r="C206" s="2" t="s">
        <v>81</v>
      </c>
      <c r="D206" s="2" t="s">
        <v>147</v>
      </c>
      <c r="E206" s="2" t="s">
        <v>69</v>
      </c>
      <c r="F206" s="2" t="s">
        <v>93</v>
      </c>
      <c r="G206" s="2"/>
      <c r="H206" s="2"/>
      <c r="I206" s="2" t="s">
        <v>89</v>
      </c>
      <c r="J206" s="2" t="s">
        <v>66</v>
      </c>
      <c r="K206" s="2" t="s">
        <v>69</v>
      </c>
      <c r="L206" s="2" t="s">
        <v>89</v>
      </c>
      <c r="M206" s="2" t="s">
        <v>96</v>
      </c>
      <c r="N206" s="2"/>
      <c r="O206" s="2"/>
      <c r="P206" s="2"/>
      <c r="Q206" s="2"/>
      <c r="R206" s="2"/>
      <c r="S206" s="2"/>
      <c r="T206" s="2"/>
      <c r="U206" s="2"/>
      <c r="V206" s="2"/>
      <c r="W206" s="2"/>
      <c r="X206" s="2"/>
      <c r="Y206" s="2"/>
      <c r="Z206" s="2"/>
      <c r="AA206" s="2"/>
    </row>
    <row r="207" customFormat="false" ht="15.75" hidden="false" customHeight="false" outlineLevel="0" collapsed="false">
      <c r="A207" s="2"/>
      <c r="B207" s="2" t="s">
        <v>83</v>
      </c>
      <c r="C207" s="2" t="s">
        <v>72</v>
      </c>
      <c r="D207" s="2" t="s">
        <v>66</v>
      </c>
      <c r="E207" s="2" t="s">
        <v>66</v>
      </c>
      <c r="F207" s="2" t="s">
        <v>89</v>
      </c>
      <c r="G207" s="2"/>
      <c r="H207" s="2"/>
      <c r="I207" s="2" t="s">
        <v>89</v>
      </c>
      <c r="J207" s="2" t="s">
        <v>66</v>
      </c>
      <c r="K207" s="2" t="s">
        <v>69</v>
      </c>
      <c r="L207" s="2" t="s">
        <v>89</v>
      </c>
      <c r="M207" s="2" t="s">
        <v>96</v>
      </c>
      <c r="N207" s="2"/>
      <c r="O207" s="2"/>
      <c r="P207" s="2"/>
      <c r="Q207" s="2"/>
      <c r="R207" s="2"/>
      <c r="S207" s="2"/>
      <c r="T207" s="2"/>
      <c r="U207" s="2"/>
      <c r="V207" s="2"/>
      <c r="W207" s="2"/>
      <c r="X207" s="2"/>
      <c r="Y207" s="2"/>
      <c r="Z207" s="2"/>
      <c r="AA207" s="2"/>
    </row>
    <row r="208" customFormat="false" ht="15.75" hidden="false" customHeight="false" outlineLevel="0" collapsed="false">
      <c r="A208" s="2"/>
      <c r="B208" s="2" t="s">
        <v>96</v>
      </c>
      <c r="C208" s="2" t="s">
        <v>83</v>
      </c>
      <c r="D208" s="2" t="s">
        <v>72</v>
      </c>
      <c r="E208" s="2" t="s">
        <v>81</v>
      </c>
      <c r="F208" s="2" t="s">
        <v>72</v>
      </c>
      <c r="G208" s="2"/>
      <c r="H208" s="2"/>
      <c r="I208" s="2" t="s">
        <v>96</v>
      </c>
      <c r="J208" s="2" t="s">
        <v>66</v>
      </c>
      <c r="K208" s="2" t="s">
        <v>69</v>
      </c>
      <c r="L208" s="2" t="s">
        <v>89</v>
      </c>
      <c r="M208" s="2" t="s">
        <v>96</v>
      </c>
      <c r="N208" s="2"/>
      <c r="O208" s="2"/>
      <c r="P208" s="2"/>
      <c r="Q208" s="2"/>
      <c r="R208" s="2"/>
      <c r="S208" s="2"/>
      <c r="T208" s="2"/>
      <c r="U208" s="2"/>
      <c r="V208" s="2"/>
      <c r="W208" s="2"/>
      <c r="X208" s="2"/>
      <c r="Y208" s="2"/>
      <c r="Z208" s="2"/>
      <c r="AA208" s="2"/>
    </row>
    <row r="209" customFormat="false" ht="15.75" hidden="false" customHeight="false" outlineLevel="0" collapsed="false">
      <c r="A209" s="2"/>
      <c r="B209" s="2" t="s">
        <v>78</v>
      </c>
      <c r="C209" s="2" t="s">
        <v>69</v>
      </c>
      <c r="D209" s="2" t="s">
        <v>83</v>
      </c>
      <c r="E209" s="2" t="s">
        <v>63</v>
      </c>
      <c r="F209" s="2" t="s">
        <v>78</v>
      </c>
      <c r="G209" s="2"/>
      <c r="H209" s="2"/>
      <c r="I209" s="2" t="s">
        <v>96</v>
      </c>
      <c r="J209" s="2" t="s">
        <v>89</v>
      </c>
      <c r="K209" s="2" t="s">
        <v>69</v>
      </c>
      <c r="L209" s="2" t="s">
        <v>89</v>
      </c>
      <c r="M209" s="2" t="s">
        <v>93</v>
      </c>
      <c r="N209" s="2"/>
      <c r="O209" s="2"/>
      <c r="P209" s="2"/>
      <c r="Q209" s="2"/>
      <c r="R209" s="2"/>
      <c r="S209" s="2"/>
      <c r="T209" s="2"/>
      <c r="U209" s="2"/>
      <c r="V209" s="2"/>
      <c r="W209" s="2"/>
      <c r="X209" s="2"/>
      <c r="Y209" s="2"/>
      <c r="Z209" s="2"/>
      <c r="AA209" s="2"/>
    </row>
    <row r="210" customFormat="false" ht="15.75" hidden="false" customHeight="false" outlineLevel="0" collapsed="false">
      <c r="A210" s="2"/>
      <c r="B210" s="2" t="s">
        <v>93</v>
      </c>
      <c r="C210" s="2" t="s">
        <v>89</v>
      </c>
      <c r="D210" s="2" t="s">
        <v>83</v>
      </c>
      <c r="E210" s="2" t="s">
        <v>89</v>
      </c>
      <c r="F210" s="2" t="s">
        <v>96</v>
      </c>
      <c r="G210" s="2"/>
      <c r="H210" s="2"/>
      <c r="I210" s="2" t="s">
        <v>96</v>
      </c>
      <c r="J210" s="2" t="s">
        <v>89</v>
      </c>
      <c r="K210" s="2" t="s">
        <v>63</v>
      </c>
      <c r="L210" s="2" t="s">
        <v>69</v>
      </c>
      <c r="M210" s="2" t="s">
        <v>93</v>
      </c>
      <c r="N210" s="2"/>
      <c r="O210" s="2"/>
      <c r="P210" s="2"/>
      <c r="Q210" s="2"/>
      <c r="R210" s="2"/>
      <c r="S210" s="2"/>
      <c r="T210" s="2"/>
      <c r="U210" s="2"/>
      <c r="V210" s="2"/>
      <c r="W210" s="2"/>
      <c r="X210" s="2"/>
      <c r="Y210" s="2"/>
      <c r="Z210" s="2"/>
      <c r="AA210" s="2"/>
    </row>
    <row r="211" customFormat="false" ht="15.75" hidden="false" customHeight="false" outlineLevel="0" collapsed="false">
      <c r="A211" s="2"/>
      <c r="B211" s="2" t="s">
        <v>93</v>
      </c>
      <c r="C211" s="2" t="s">
        <v>72</v>
      </c>
      <c r="D211" s="2" t="s">
        <v>72</v>
      </c>
      <c r="E211" s="2" t="s">
        <v>63</v>
      </c>
      <c r="F211" s="2" t="s">
        <v>72</v>
      </c>
      <c r="G211" s="2"/>
      <c r="H211" s="2"/>
      <c r="I211" s="2" t="s">
        <v>96</v>
      </c>
      <c r="J211" s="2" t="s">
        <v>89</v>
      </c>
      <c r="K211" s="2" t="s">
        <v>63</v>
      </c>
      <c r="L211" s="2" t="s">
        <v>69</v>
      </c>
      <c r="M211" s="2" t="s">
        <v>93</v>
      </c>
      <c r="N211" s="2"/>
      <c r="O211" s="2"/>
      <c r="P211" s="2"/>
      <c r="Q211" s="2"/>
      <c r="R211" s="2"/>
      <c r="S211" s="2"/>
      <c r="T211" s="2"/>
      <c r="U211" s="2"/>
      <c r="V211" s="2"/>
      <c r="W211" s="2"/>
      <c r="X211" s="2"/>
      <c r="Y211" s="2"/>
      <c r="Z211" s="2"/>
      <c r="AA211" s="2"/>
    </row>
    <row r="212" customFormat="false" ht="15.75" hidden="false" customHeight="false" outlineLevel="0" collapsed="false">
      <c r="A212" s="2"/>
      <c r="B212" s="2" t="s">
        <v>93</v>
      </c>
      <c r="C212" s="2" t="s">
        <v>63</v>
      </c>
      <c r="D212" s="2" t="s">
        <v>81</v>
      </c>
      <c r="E212" s="2" t="s">
        <v>78</v>
      </c>
      <c r="F212" s="2" t="s">
        <v>75</v>
      </c>
      <c r="G212" s="2"/>
      <c r="H212" s="2"/>
      <c r="I212" s="2" t="s">
        <v>66</v>
      </c>
      <c r="J212" s="2" t="s">
        <v>89</v>
      </c>
      <c r="K212" s="2" t="s">
        <v>63</v>
      </c>
      <c r="L212" s="2" t="s">
        <v>75</v>
      </c>
      <c r="M212" s="2" t="s">
        <v>93</v>
      </c>
      <c r="N212" s="2"/>
      <c r="O212" s="2"/>
      <c r="P212" s="2"/>
      <c r="Q212" s="2"/>
      <c r="R212" s="2"/>
      <c r="S212" s="2"/>
      <c r="T212" s="2"/>
      <c r="U212" s="2"/>
      <c r="V212" s="2"/>
      <c r="W212" s="2"/>
      <c r="X212" s="2"/>
      <c r="Y212" s="2"/>
      <c r="Z212" s="2"/>
      <c r="AA212" s="2"/>
    </row>
    <row r="213" customFormat="false" ht="15.75" hidden="false" customHeight="false" outlineLevel="0" collapsed="false">
      <c r="A213" s="2"/>
      <c r="B213" s="2" t="s">
        <v>96</v>
      </c>
      <c r="C213" s="2" t="s">
        <v>69</v>
      </c>
      <c r="D213" s="2" t="s">
        <v>83</v>
      </c>
      <c r="E213" s="2" t="s">
        <v>93</v>
      </c>
      <c r="F213" s="2" t="s">
        <v>63</v>
      </c>
      <c r="G213" s="2"/>
      <c r="H213" s="2"/>
      <c r="I213" s="2" t="s">
        <v>66</v>
      </c>
      <c r="J213" s="2" t="s">
        <v>81</v>
      </c>
      <c r="K213" s="2" t="s">
        <v>63</v>
      </c>
      <c r="L213" s="2" t="s">
        <v>75</v>
      </c>
      <c r="M213" s="2" t="s">
        <v>75</v>
      </c>
      <c r="N213" s="2"/>
      <c r="O213" s="2"/>
      <c r="P213" s="2"/>
      <c r="Q213" s="2"/>
      <c r="R213" s="2"/>
      <c r="S213" s="2"/>
      <c r="T213" s="2"/>
      <c r="U213" s="2"/>
      <c r="V213" s="2"/>
      <c r="W213" s="2"/>
      <c r="X213" s="2"/>
      <c r="Y213" s="2"/>
      <c r="Z213" s="2"/>
      <c r="AA213" s="2"/>
    </row>
    <row r="214" customFormat="false" ht="15.75" hidden="false" customHeight="false" outlineLevel="0" collapsed="false">
      <c r="A214" s="2"/>
      <c r="B214" s="2" t="s">
        <v>72</v>
      </c>
      <c r="C214" s="2" t="s">
        <v>63</v>
      </c>
      <c r="D214" s="2" t="s">
        <v>89</v>
      </c>
      <c r="E214" s="2" t="s">
        <v>63</v>
      </c>
      <c r="F214" s="2" t="s">
        <v>78</v>
      </c>
      <c r="G214" s="2"/>
      <c r="H214" s="2"/>
      <c r="I214" s="2" t="s">
        <v>66</v>
      </c>
      <c r="J214" s="2" t="s">
        <v>81</v>
      </c>
      <c r="K214" s="2" t="s">
        <v>81</v>
      </c>
      <c r="L214" s="2" t="s">
        <v>75</v>
      </c>
      <c r="M214" s="2" t="s">
        <v>75</v>
      </c>
      <c r="N214" s="2"/>
      <c r="O214" s="2"/>
      <c r="P214" s="2"/>
      <c r="Q214" s="2"/>
      <c r="R214" s="2"/>
      <c r="S214" s="2"/>
      <c r="T214" s="2"/>
      <c r="U214" s="2"/>
      <c r="V214" s="2"/>
      <c r="W214" s="2"/>
      <c r="X214" s="2"/>
      <c r="Y214" s="2"/>
      <c r="Z214" s="2"/>
      <c r="AA214" s="2"/>
    </row>
    <row r="215" customFormat="false" ht="15.75" hidden="false" customHeight="false" outlineLevel="0" collapsed="false">
      <c r="A215" s="2"/>
      <c r="B215" s="2" t="s">
        <v>72</v>
      </c>
      <c r="C215" s="2" t="s">
        <v>78</v>
      </c>
      <c r="D215" s="2" t="s">
        <v>147</v>
      </c>
      <c r="E215" s="2" t="s">
        <v>83</v>
      </c>
      <c r="F215" s="2" t="s">
        <v>81</v>
      </c>
      <c r="G215" s="2"/>
      <c r="H215" s="2"/>
      <c r="I215" s="2" t="s">
        <v>66</v>
      </c>
      <c r="J215" s="2" t="s">
        <v>149</v>
      </c>
      <c r="K215" s="2" t="s">
        <v>81</v>
      </c>
      <c r="L215" s="2" t="s">
        <v>75</v>
      </c>
      <c r="M215" s="2" t="s">
        <v>75</v>
      </c>
      <c r="N215" s="2"/>
      <c r="O215" s="2"/>
      <c r="P215" s="2"/>
      <c r="Q215" s="2"/>
      <c r="R215" s="2"/>
      <c r="S215" s="2"/>
      <c r="T215" s="2"/>
      <c r="U215" s="2"/>
      <c r="V215" s="2"/>
      <c r="W215" s="2"/>
      <c r="X215" s="2"/>
      <c r="Y215" s="2"/>
      <c r="Z215" s="2"/>
      <c r="AA215" s="2"/>
    </row>
    <row r="216" customFormat="false" ht="15.75" hidden="false" customHeight="false" outlineLevel="0" collapsed="false">
      <c r="A216" s="2"/>
      <c r="B216" s="2" t="s">
        <v>75</v>
      </c>
      <c r="C216" s="2" t="s">
        <v>72</v>
      </c>
      <c r="D216" s="2" t="s">
        <v>63</v>
      </c>
      <c r="E216" s="2" t="s">
        <v>66</v>
      </c>
      <c r="F216" s="2" t="s">
        <v>78</v>
      </c>
      <c r="G216" s="2"/>
      <c r="H216" s="2"/>
      <c r="I216" s="2" t="s">
        <v>81</v>
      </c>
      <c r="J216" s="2" t="s">
        <v>81</v>
      </c>
      <c r="K216" s="2" t="s">
        <v>81</v>
      </c>
      <c r="L216" s="2" t="s">
        <v>83</v>
      </c>
      <c r="M216" s="2" t="s">
        <v>75</v>
      </c>
      <c r="N216" s="2"/>
      <c r="O216" s="2"/>
      <c r="P216" s="2"/>
      <c r="Q216" s="2"/>
      <c r="R216" s="2"/>
      <c r="S216" s="2"/>
      <c r="T216" s="2"/>
      <c r="U216" s="2"/>
      <c r="V216" s="2"/>
      <c r="W216" s="2"/>
      <c r="X216" s="2"/>
      <c r="Y216" s="2"/>
      <c r="Z216" s="2"/>
      <c r="AA216" s="2"/>
    </row>
    <row r="217" customFormat="false" ht="15.75" hidden="false" customHeight="false" outlineLevel="0" collapsed="false">
      <c r="A217" s="2"/>
      <c r="B217" s="2" t="s">
        <v>69</v>
      </c>
      <c r="C217" s="2" t="s">
        <v>75</v>
      </c>
      <c r="D217" s="2" t="s">
        <v>96</v>
      </c>
      <c r="E217" s="2" t="s">
        <v>149</v>
      </c>
      <c r="F217" s="2" t="s">
        <v>78</v>
      </c>
      <c r="G217" s="2"/>
      <c r="H217" s="2"/>
      <c r="I217" s="2" t="s">
        <v>81</v>
      </c>
      <c r="J217" s="2" t="s">
        <v>81</v>
      </c>
      <c r="K217" s="2" t="s">
        <v>81</v>
      </c>
      <c r="L217" s="2" t="s">
        <v>83</v>
      </c>
      <c r="M217" s="2" t="s">
        <v>83</v>
      </c>
      <c r="N217" s="2"/>
      <c r="O217" s="2"/>
      <c r="P217" s="2"/>
      <c r="Q217" s="2"/>
      <c r="R217" s="2"/>
      <c r="S217" s="2"/>
      <c r="T217" s="2"/>
      <c r="U217" s="2"/>
      <c r="V217" s="2"/>
      <c r="W217" s="2"/>
      <c r="X217" s="2"/>
      <c r="Y217" s="2"/>
      <c r="Z217" s="2"/>
      <c r="AA217" s="2"/>
    </row>
    <row r="218" customFormat="false" ht="15.75" hidden="false" customHeight="false" outlineLevel="0" collapsed="false">
      <c r="A218" s="2"/>
      <c r="B218" s="2" t="s">
        <v>83</v>
      </c>
      <c r="C218" s="2" t="s">
        <v>66</v>
      </c>
      <c r="D218" s="2" t="s">
        <v>66</v>
      </c>
      <c r="E218" s="2" t="s">
        <v>69</v>
      </c>
      <c r="F218" s="2" t="s">
        <v>72</v>
      </c>
      <c r="G218" s="2"/>
      <c r="H218" s="2"/>
      <c r="I218" s="2" t="s">
        <v>81</v>
      </c>
      <c r="J218" s="2" t="s">
        <v>89</v>
      </c>
      <c r="K218" s="2" t="s">
        <v>78</v>
      </c>
      <c r="L218" s="2" t="s">
        <v>149</v>
      </c>
      <c r="M218" s="2" t="s">
        <v>83</v>
      </c>
      <c r="N218" s="2"/>
      <c r="O218" s="2"/>
      <c r="P218" s="2"/>
      <c r="Q218" s="2"/>
      <c r="R218" s="2"/>
      <c r="S218" s="2"/>
      <c r="T218" s="2"/>
      <c r="U218" s="2"/>
      <c r="V218" s="2"/>
      <c r="W218" s="2"/>
      <c r="X218" s="2"/>
      <c r="Y218" s="2"/>
      <c r="Z218" s="2"/>
      <c r="AA218" s="2"/>
    </row>
    <row r="219" customFormat="false" ht="15.75" hidden="false" customHeight="false" outlineLevel="0" collapsed="false">
      <c r="A219" s="2"/>
      <c r="B219" s="2" t="s">
        <v>83</v>
      </c>
      <c r="C219" s="2" t="s">
        <v>78</v>
      </c>
      <c r="D219" s="2" t="s">
        <v>149</v>
      </c>
      <c r="E219" s="2" t="s">
        <v>78</v>
      </c>
      <c r="F219" s="2" t="s">
        <v>89</v>
      </c>
      <c r="G219" s="2"/>
      <c r="H219" s="2"/>
      <c r="I219" s="2" t="s">
        <v>81</v>
      </c>
      <c r="J219" s="2" t="s">
        <v>89</v>
      </c>
      <c r="K219" s="2" t="s">
        <v>78</v>
      </c>
      <c r="L219" s="2" t="s">
        <v>83</v>
      </c>
      <c r="M219" s="2" t="s">
        <v>83</v>
      </c>
      <c r="N219" s="2"/>
      <c r="O219" s="2"/>
      <c r="P219" s="2"/>
      <c r="Q219" s="2"/>
      <c r="R219" s="2"/>
      <c r="S219" s="2"/>
      <c r="T219" s="2"/>
      <c r="U219" s="2"/>
      <c r="V219" s="2"/>
      <c r="W219" s="2"/>
      <c r="X219" s="2"/>
      <c r="Y219" s="2"/>
      <c r="Z219" s="2"/>
      <c r="AA219" s="2"/>
    </row>
    <row r="220" customFormat="false" ht="15.75" hidden="false" customHeight="false" outlineLevel="0" collapsed="false">
      <c r="A220" s="2"/>
      <c r="B220" s="2" t="s">
        <v>78</v>
      </c>
      <c r="C220" s="2" t="s">
        <v>78</v>
      </c>
      <c r="D220" s="2" t="s">
        <v>83</v>
      </c>
      <c r="E220" s="2" t="s">
        <v>96</v>
      </c>
      <c r="F220" s="2" t="s">
        <v>78</v>
      </c>
      <c r="G220" s="2"/>
      <c r="H220" s="2"/>
      <c r="I220" s="2" t="s">
        <v>96</v>
      </c>
      <c r="J220" s="2" t="s">
        <v>89</v>
      </c>
      <c r="K220" s="2" t="s">
        <v>78</v>
      </c>
      <c r="L220" s="2" t="s">
        <v>83</v>
      </c>
      <c r="M220" s="2" t="s">
        <v>83</v>
      </c>
      <c r="N220" s="2"/>
      <c r="O220" s="2"/>
      <c r="P220" s="2"/>
      <c r="Q220" s="2"/>
      <c r="R220" s="2"/>
      <c r="S220" s="2"/>
      <c r="T220" s="2"/>
      <c r="U220" s="2"/>
      <c r="V220" s="2"/>
      <c r="W220" s="2"/>
      <c r="X220" s="2"/>
      <c r="Y220" s="2"/>
      <c r="Z220" s="2"/>
      <c r="AA220" s="2"/>
    </row>
    <row r="221" customFormat="false" ht="15.75" hidden="false" customHeight="false" outlineLevel="0" collapsed="false">
      <c r="A221" s="2"/>
      <c r="B221" s="2" t="s">
        <v>81</v>
      </c>
      <c r="C221" s="2" t="s">
        <v>72</v>
      </c>
      <c r="D221" s="2" t="s">
        <v>69</v>
      </c>
      <c r="E221" s="2" t="s">
        <v>78</v>
      </c>
      <c r="F221" s="2" t="s">
        <v>93</v>
      </c>
      <c r="G221" s="2"/>
      <c r="H221" s="2"/>
      <c r="I221" s="2" t="s">
        <v>96</v>
      </c>
      <c r="J221" s="2" t="s">
        <v>89</v>
      </c>
      <c r="K221" s="2" t="s">
        <v>78</v>
      </c>
      <c r="L221" s="2" t="s">
        <v>96</v>
      </c>
      <c r="M221" s="2" t="s">
        <v>96</v>
      </c>
      <c r="N221" s="2"/>
      <c r="O221" s="2"/>
      <c r="P221" s="2"/>
      <c r="Q221" s="2"/>
      <c r="R221" s="2"/>
      <c r="S221" s="2"/>
      <c r="T221" s="2"/>
      <c r="U221" s="2"/>
      <c r="V221" s="2"/>
      <c r="W221" s="2"/>
      <c r="X221" s="2"/>
      <c r="Y221" s="2"/>
      <c r="Z221" s="2"/>
      <c r="AA221" s="2"/>
    </row>
    <row r="222" customFormat="false" ht="15.75" hidden="false" customHeight="false" outlineLevel="0" collapsed="false">
      <c r="A222" s="2"/>
      <c r="B222" s="2" t="s">
        <v>75</v>
      </c>
      <c r="C222" s="2" t="s">
        <v>69</v>
      </c>
      <c r="D222" s="2" t="s">
        <v>147</v>
      </c>
      <c r="E222" s="2" t="s">
        <v>72</v>
      </c>
      <c r="F222" s="2" t="s">
        <v>83</v>
      </c>
      <c r="G222" s="2"/>
      <c r="H222" s="2"/>
      <c r="I222" s="2" t="s">
        <v>96</v>
      </c>
      <c r="J222" s="2" t="s">
        <v>78</v>
      </c>
      <c r="K222" s="2" t="s">
        <v>81</v>
      </c>
      <c r="L222" s="2" t="s">
        <v>96</v>
      </c>
      <c r="M222" s="2" t="s">
        <v>96</v>
      </c>
      <c r="N222" s="2"/>
      <c r="O222" s="2"/>
      <c r="P222" s="2"/>
      <c r="Q222" s="2"/>
      <c r="R222" s="2"/>
      <c r="S222" s="2"/>
      <c r="T222" s="2"/>
      <c r="U222" s="2"/>
      <c r="V222" s="2"/>
      <c r="W222" s="2"/>
      <c r="X222" s="2"/>
      <c r="Y222" s="2"/>
      <c r="Z222" s="2"/>
      <c r="AA222" s="2"/>
    </row>
    <row r="223" customFormat="false" ht="15.75" hidden="false" customHeight="false" outlineLevel="0" collapsed="false">
      <c r="A223" s="2"/>
      <c r="B223" s="2" t="s">
        <v>78</v>
      </c>
      <c r="C223" s="2" t="s">
        <v>66</v>
      </c>
      <c r="D223" s="2" t="s">
        <v>96</v>
      </c>
      <c r="E223" s="2" t="s">
        <v>75</v>
      </c>
      <c r="F223" s="2" t="s">
        <v>81</v>
      </c>
      <c r="G223" s="2"/>
      <c r="H223" s="2"/>
      <c r="I223" s="2" t="s">
        <v>96</v>
      </c>
      <c r="J223" s="2" t="s">
        <v>78</v>
      </c>
      <c r="K223" s="2" t="s">
        <v>81</v>
      </c>
      <c r="L223" s="2" t="s">
        <v>96</v>
      </c>
      <c r="M223" s="2" t="s">
        <v>96</v>
      </c>
      <c r="N223" s="2"/>
      <c r="O223" s="2"/>
      <c r="P223" s="2"/>
      <c r="Q223" s="2"/>
      <c r="R223" s="2"/>
      <c r="S223" s="2"/>
      <c r="T223" s="2"/>
      <c r="U223" s="2"/>
      <c r="V223" s="2"/>
      <c r="W223" s="2"/>
      <c r="X223" s="2"/>
      <c r="Y223" s="2"/>
      <c r="Z223" s="2"/>
      <c r="AA223" s="2"/>
    </row>
    <row r="224" customFormat="false" ht="15.75" hidden="false" customHeight="false" outlineLevel="0" collapsed="false">
      <c r="A224" s="2"/>
      <c r="B224" s="2" t="s">
        <v>81</v>
      </c>
      <c r="C224" s="2" t="s">
        <v>149</v>
      </c>
      <c r="D224" s="2" t="s">
        <v>72</v>
      </c>
      <c r="E224" s="2" t="s">
        <v>93</v>
      </c>
      <c r="F224" s="2" t="s">
        <v>69</v>
      </c>
      <c r="G224" s="2"/>
      <c r="H224" s="2"/>
      <c r="I224" s="2" t="s">
        <v>69</v>
      </c>
      <c r="J224" s="2" t="s">
        <v>78</v>
      </c>
      <c r="K224" s="2" t="s">
        <v>81</v>
      </c>
      <c r="L224" s="2" t="s">
        <v>96</v>
      </c>
      <c r="M224" s="2" t="s">
        <v>96</v>
      </c>
      <c r="N224" s="2"/>
      <c r="O224" s="2"/>
      <c r="P224" s="2"/>
      <c r="Q224" s="2"/>
      <c r="R224" s="2"/>
      <c r="S224" s="2"/>
      <c r="T224" s="2"/>
      <c r="U224" s="2"/>
      <c r="V224" s="2"/>
      <c r="W224" s="2"/>
      <c r="X224" s="2"/>
      <c r="Y224" s="2"/>
      <c r="Z224" s="2"/>
      <c r="AA224" s="2"/>
    </row>
    <row r="225" customFormat="false" ht="15.75" hidden="false" customHeight="false" outlineLevel="0" collapsed="false">
      <c r="A225" s="2"/>
      <c r="B225" s="2" t="s">
        <v>72</v>
      </c>
      <c r="C225" s="2" t="s">
        <v>63</v>
      </c>
      <c r="D225" s="2" t="s">
        <v>96</v>
      </c>
      <c r="E225" s="2" t="s">
        <v>75</v>
      </c>
      <c r="F225" s="2" t="s">
        <v>93</v>
      </c>
      <c r="G225" s="2"/>
      <c r="H225" s="2"/>
      <c r="I225" s="2" t="s">
        <v>69</v>
      </c>
      <c r="J225" s="2" t="s">
        <v>78</v>
      </c>
      <c r="K225" s="2" t="s">
        <v>81</v>
      </c>
      <c r="L225" s="2" t="s">
        <v>83</v>
      </c>
      <c r="M225" s="2" t="s">
        <v>72</v>
      </c>
      <c r="N225" s="2"/>
      <c r="O225" s="2"/>
      <c r="P225" s="2"/>
      <c r="Q225" s="2"/>
      <c r="R225" s="2"/>
      <c r="S225" s="2"/>
      <c r="T225" s="2"/>
      <c r="U225" s="2"/>
      <c r="V225" s="2"/>
      <c r="W225" s="2"/>
      <c r="X225" s="2"/>
      <c r="Y225" s="2"/>
      <c r="Z225" s="2"/>
      <c r="AA225" s="2"/>
    </row>
    <row r="226" customFormat="false" ht="15.75" hidden="false" customHeight="false" outlineLevel="0" collapsed="false">
      <c r="A226" s="2"/>
      <c r="B226" s="2" t="s">
        <v>83</v>
      </c>
      <c r="C226" s="2" t="s">
        <v>66</v>
      </c>
      <c r="D226" s="2" t="s">
        <v>96</v>
      </c>
      <c r="E226" s="2" t="s">
        <v>75</v>
      </c>
      <c r="F226" s="2" t="s">
        <v>78</v>
      </c>
      <c r="G226" s="2"/>
      <c r="H226" s="2"/>
      <c r="I226" s="2" t="s">
        <v>69</v>
      </c>
      <c r="J226" s="2" t="s">
        <v>75</v>
      </c>
      <c r="K226" s="2" t="s">
        <v>83</v>
      </c>
      <c r="L226" s="2" t="s">
        <v>83</v>
      </c>
      <c r="M226" s="2" t="s">
        <v>72</v>
      </c>
      <c r="N226" s="2"/>
      <c r="O226" s="2"/>
      <c r="P226" s="2"/>
      <c r="Q226" s="2"/>
      <c r="R226" s="2"/>
      <c r="S226" s="2"/>
      <c r="T226" s="2"/>
      <c r="U226" s="2"/>
      <c r="V226" s="2"/>
      <c r="W226" s="2"/>
      <c r="X226" s="2"/>
      <c r="Y226" s="2"/>
      <c r="Z226" s="2"/>
      <c r="AA226" s="2"/>
    </row>
    <row r="227" customFormat="false" ht="15.75" hidden="false" customHeight="false" outlineLevel="0" collapsed="false">
      <c r="A227" s="2"/>
      <c r="B227" s="2" t="s">
        <v>81</v>
      </c>
      <c r="C227" s="2" t="s">
        <v>66</v>
      </c>
      <c r="D227" s="2" t="s">
        <v>93</v>
      </c>
      <c r="E227" s="2" t="s">
        <v>96</v>
      </c>
      <c r="F227" s="2" t="s">
        <v>96</v>
      </c>
      <c r="G227" s="2"/>
      <c r="H227" s="2"/>
      <c r="I227" s="2" t="s">
        <v>69</v>
      </c>
      <c r="J227" s="2" t="s">
        <v>75</v>
      </c>
      <c r="K227" s="2" t="s">
        <v>83</v>
      </c>
      <c r="L227" s="2" t="s">
        <v>83</v>
      </c>
      <c r="M227" s="2" t="s">
        <v>72</v>
      </c>
      <c r="N227" s="2"/>
      <c r="O227" s="2"/>
      <c r="P227" s="2"/>
      <c r="Q227" s="2"/>
      <c r="R227" s="2"/>
      <c r="S227" s="2"/>
      <c r="T227" s="2"/>
      <c r="U227" s="2"/>
      <c r="V227" s="2"/>
      <c r="W227" s="2"/>
      <c r="X227" s="2"/>
      <c r="Y227" s="2"/>
      <c r="Z227" s="2"/>
      <c r="AA227" s="2"/>
    </row>
    <row r="228" customFormat="false" ht="15.75" hidden="false" customHeight="false" outlineLevel="0" collapsed="false">
      <c r="A228" s="2"/>
      <c r="B228" s="2" t="s">
        <v>89</v>
      </c>
      <c r="C228" s="2" t="s">
        <v>69</v>
      </c>
      <c r="D228" s="2" t="s">
        <v>147</v>
      </c>
      <c r="E228" s="2" t="s">
        <v>83</v>
      </c>
      <c r="F228" s="2" t="s">
        <v>72</v>
      </c>
      <c r="G228" s="2"/>
      <c r="H228" s="2"/>
      <c r="I228" s="2" t="s">
        <v>96</v>
      </c>
      <c r="J228" s="2" t="s">
        <v>75</v>
      </c>
      <c r="K228" s="2" t="s">
        <v>83</v>
      </c>
      <c r="L228" s="2" t="s">
        <v>83</v>
      </c>
      <c r="M228" s="2" t="s">
        <v>72</v>
      </c>
      <c r="N228" s="2"/>
      <c r="O228" s="2"/>
      <c r="P228" s="2"/>
      <c r="Q228" s="2"/>
      <c r="R228" s="2"/>
      <c r="S228" s="2"/>
      <c r="T228" s="2"/>
      <c r="U228" s="2"/>
      <c r="V228" s="2"/>
      <c r="W228" s="2"/>
      <c r="X228" s="2"/>
      <c r="Y228" s="2"/>
      <c r="Z228" s="2"/>
      <c r="AA228" s="2"/>
    </row>
    <row r="229" customFormat="false" ht="15.75" hidden="false" customHeight="false" outlineLevel="0" collapsed="false">
      <c r="A229" s="2"/>
      <c r="B229" s="2" t="s">
        <v>66</v>
      </c>
      <c r="C229" s="2" t="s">
        <v>72</v>
      </c>
      <c r="D229" s="2" t="s">
        <v>83</v>
      </c>
      <c r="E229" s="2" t="s">
        <v>78</v>
      </c>
      <c r="F229" s="2" t="s">
        <v>66</v>
      </c>
      <c r="G229" s="2"/>
      <c r="H229" s="2"/>
      <c r="I229" s="2" t="s">
        <v>96</v>
      </c>
      <c r="J229" s="2" t="s">
        <v>75</v>
      </c>
      <c r="K229" s="2" t="s">
        <v>83</v>
      </c>
      <c r="L229" s="2" t="s">
        <v>96</v>
      </c>
      <c r="M229" s="2" t="s">
        <v>63</v>
      </c>
      <c r="N229" s="2"/>
      <c r="O229" s="2"/>
      <c r="P229" s="2"/>
      <c r="Q229" s="2"/>
      <c r="R229" s="2"/>
      <c r="S229" s="2"/>
      <c r="T229" s="2"/>
      <c r="U229" s="2"/>
      <c r="V229" s="2"/>
      <c r="W229" s="2"/>
      <c r="X229" s="2"/>
      <c r="Y229" s="2"/>
      <c r="Z229" s="2"/>
      <c r="AA229" s="2"/>
    </row>
    <row r="230" customFormat="false" ht="15.75" hidden="false" customHeight="false" outlineLevel="0" collapsed="false">
      <c r="A230" s="2"/>
      <c r="B230" s="2" t="s">
        <v>72</v>
      </c>
      <c r="C230" s="2" t="s">
        <v>96</v>
      </c>
      <c r="D230" s="2" t="s">
        <v>78</v>
      </c>
      <c r="E230" s="2" t="s">
        <v>78</v>
      </c>
      <c r="F230" s="2" t="s">
        <v>75</v>
      </c>
      <c r="G230" s="2"/>
      <c r="H230" s="2"/>
      <c r="I230" s="2" t="s">
        <v>96</v>
      </c>
      <c r="J230" s="2" t="s">
        <v>63</v>
      </c>
      <c r="K230" s="2" t="s">
        <v>75</v>
      </c>
      <c r="L230" s="2" t="s">
        <v>96</v>
      </c>
      <c r="M230" s="2" t="s">
        <v>63</v>
      </c>
      <c r="N230" s="2"/>
      <c r="O230" s="2"/>
      <c r="P230" s="2"/>
      <c r="Q230" s="2"/>
      <c r="R230" s="2"/>
      <c r="S230" s="2"/>
      <c r="T230" s="2"/>
      <c r="U230" s="2"/>
      <c r="V230" s="2"/>
      <c r="W230" s="2"/>
      <c r="X230" s="2"/>
      <c r="Y230" s="2"/>
      <c r="Z230" s="2"/>
      <c r="AA230" s="2"/>
    </row>
    <row r="231" customFormat="false" ht="15.75" hidden="false" customHeight="false" outlineLevel="0" collapsed="false">
      <c r="A231" s="2"/>
      <c r="B231" s="2" t="s">
        <v>69</v>
      </c>
      <c r="C231" s="2" t="s">
        <v>83</v>
      </c>
      <c r="D231" s="2" t="s">
        <v>93</v>
      </c>
      <c r="E231" s="2" t="s">
        <v>81</v>
      </c>
      <c r="F231" s="2" t="s">
        <v>96</v>
      </c>
      <c r="G231" s="2"/>
      <c r="H231" s="2"/>
      <c r="I231" s="2" t="s">
        <v>96</v>
      </c>
      <c r="J231" s="2" t="s">
        <v>63</v>
      </c>
      <c r="K231" s="2" t="s">
        <v>75</v>
      </c>
      <c r="L231" s="2" t="s">
        <v>96</v>
      </c>
      <c r="M231" s="2" t="s">
        <v>63</v>
      </c>
      <c r="N231" s="2"/>
      <c r="O231" s="2"/>
      <c r="P231" s="2"/>
      <c r="Q231" s="2"/>
      <c r="R231" s="2"/>
      <c r="S231" s="2"/>
      <c r="T231" s="2"/>
      <c r="U231" s="2"/>
      <c r="V231" s="2"/>
      <c r="W231" s="2"/>
      <c r="X231" s="2"/>
      <c r="Y231" s="2"/>
      <c r="Z231" s="2"/>
      <c r="AA231" s="2"/>
    </row>
    <row r="232" customFormat="false" ht="15.75" hidden="false" customHeight="false" outlineLevel="0" collapsed="false">
      <c r="A232" s="2"/>
      <c r="B232" s="2" t="s">
        <v>83</v>
      </c>
      <c r="C232" s="2" t="s">
        <v>96</v>
      </c>
      <c r="D232" s="2" t="s">
        <v>75</v>
      </c>
      <c r="E232" s="2" t="s">
        <v>69</v>
      </c>
      <c r="F232" s="2" t="s">
        <v>81</v>
      </c>
      <c r="G232" s="2"/>
      <c r="H232" s="2"/>
      <c r="I232" s="2" t="s">
        <v>78</v>
      </c>
      <c r="J232" s="2" t="s">
        <v>63</v>
      </c>
      <c r="K232" s="2" t="s">
        <v>75</v>
      </c>
      <c r="L232" s="2" t="s">
        <v>149</v>
      </c>
      <c r="M232" s="2" t="s">
        <v>63</v>
      </c>
      <c r="N232" s="2"/>
      <c r="O232" s="2"/>
      <c r="P232" s="2"/>
      <c r="Q232" s="2"/>
      <c r="R232" s="2"/>
      <c r="S232" s="2"/>
      <c r="T232" s="2"/>
      <c r="U232" s="2"/>
      <c r="V232" s="2"/>
      <c r="W232" s="2"/>
      <c r="X232" s="2"/>
      <c r="Y232" s="2"/>
      <c r="Z232" s="2"/>
      <c r="AA232" s="2"/>
    </row>
    <row r="233" customFormat="false" ht="15.75" hidden="false" customHeight="false" outlineLevel="0" collapsed="false">
      <c r="A233" s="2"/>
      <c r="B233" s="2" t="s">
        <v>81</v>
      </c>
      <c r="C233" s="2" t="s">
        <v>78</v>
      </c>
      <c r="D233" s="2" t="s">
        <v>89</v>
      </c>
      <c r="E233" s="2" t="s">
        <v>66</v>
      </c>
      <c r="F233" s="2" t="s">
        <v>89</v>
      </c>
      <c r="G233" s="2"/>
      <c r="H233" s="2"/>
      <c r="I233" s="2" t="s">
        <v>78</v>
      </c>
      <c r="J233" s="2" t="s">
        <v>63</v>
      </c>
      <c r="K233" s="2" t="s">
        <v>75</v>
      </c>
      <c r="L233" s="2" t="s">
        <v>96</v>
      </c>
      <c r="M233" s="2" t="s">
        <v>72</v>
      </c>
      <c r="N233" s="2"/>
      <c r="O233" s="2"/>
      <c r="P233" s="2"/>
      <c r="Q233" s="2"/>
      <c r="R233" s="2"/>
      <c r="S233" s="2"/>
      <c r="T233" s="2"/>
      <c r="U233" s="2"/>
      <c r="V233" s="2"/>
      <c r="W233" s="2"/>
      <c r="X233" s="2"/>
      <c r="Y233" s="2"/>
      <c r="Z233" s="2"/>
      <c r="AA233" s="2"/>
    </row>
    <row r="234" customFormat="false" ht="15.75" hidden="false" customHeight="false" outlineLevel="0" collapsed="false">
      <c r="A234" s="2"/>
      <c r="B234" s="2" t="s">
        <v>63</v>
      </c>
      <c r="C234" s="2" t="s">
        <v>96</v>
      </c>
      <c r="D234" s="2" t="s">
        <v>78</v>
      </c>
      <c r="E234" s="2" t="s">
        <v>83</v>
      </c>
      <c r="F234" s="2" t="s">
        <v>66</v>
      </c>
      <c r="G234" s="2"/>
      <c r="H234" s="2"/>
      <c r="I234" s="2" t="s">
        <v>78</v>
      </c>
      <c r="J234" s="2" t="s">
        <v>93</v>
      </c>
      <c r="K234" s="2" t="s">
        <v>93</v>
      </c>
      <c r="L234" s="2" t="s">
        <v>96</v>
      </c>
      <c r="M234" s="2" t="s">
        <v>72</v>
      </c>
      <c r="N234" s="2"/>
      <c r="O234" s="2"/>
      <c r="P234" s="2"/>
      <c r="Q234" s="2"/>
      <c r="R234" s="2"/>
      <c r="S234" s="2"/>
      <c r="T234" s="2"/>
      <c r="U234" s="2"/>
      <c r="V234" s="2"/>
      <c r="W234" s="2"/>
      <c r="X234" s="2"/>
      <c r="Y234" s="2"/>
      <c r="Z234" s="2"/>
      <c r="AA234" s="2"/>
    </row>
    <row r="235" customFormat="false" ht="15.75" hidden="false" customHeight="false" outlineLevel="0" collapsed="false">
      <c r="A235" s="2"/>
      <c r="B235" s="2" t="s">
        <v>66</v>
      </c>
      <c r="C235" s="2" t="s">
        <v>81</v>
      </c>
      <c r="D235" s="2" t="s">
        <v>78</v>
      </c>
      <c r="E235" s="2" t="s">
        <v>81</v>
      </c>
      <c r="F235" s="2" t="s">
        <v>78</v>
      </c>
      <c r="G235" s="2"/>
      <c r="H235" s="2"/>
      <c r="I235" s="2" t="s">
        <v>78</v>
      </c>
      <c r="J235" s="2" t="s">
        <v>93</v>
      </c>
      <c r="K235" s="2" t="s">
        <v>93</v>
      </c>
      <c r="L235" s="2" t="s">
        <v>96</v>
      </c>
      <c r="M235" s="2" t="s">
        <v>72</v>
      </c>
      <c r="N235" s="2"/>
      <c r="O235" s="2"/>
      <c r="P235" s="2"/>
      <c r="Q235" s="2"/>
      <c r="R235" s="2"/>
      <c r="S235" s="2"/>
      <c r="T235" s="2"/>
      <c r="U235" s="2"/>
      <c r="V235" s="2"/>
      <c r="W235" s="2"/>
      <c r="X235" s="2"/>
      <c r="Y235" s="2"/>
      <c r="Z235" s="2"/>
      <c r="AA235" s="2"/>
    </row>
    <row r="236" customFormat="false" ht="15.75" hidden="false" customHeight="false" outlineLevel="0" collapsed="false">
      <c r="A236" s="2"/>
      <c r="B236" s="2" t="s">
        <v>147</v>
      </c>
      <c r="C236" s="2" t="s">
        <v>81</v>
      </c>
      <c r="D236" s="2" t="s">
        <v>96</v>
      </c>
      <c r="E236" s="2" t="s">
        <v>81</v>
      </c>
      <c r="F236" s="2" t="s">
        <v>89</v>
      </c>
      <c r="G236" s="2"/>
      <c r="H236" s="2"/>
      <c r="I236" s="2" t="s">
        <v>72</v>
      </c>
      <c r="J236" s="2" t="s">
        <v>93</v>
      </c>
      <c r="K236" s="2" t="s">
        <v>93</v>
      </c>
      <c r="L236" s="2" t="s">
        <v>96</v>
      </c>
      <c r="M236" s="2" t="s">
        <v>72</v>
      </c>
      <c r="N236" s="2"/>
      <c r="O236" s="2"/>
      <c r="P236" s="2"/>
      <c r="Q236" s="2"/>
      <c r="R236" s="2"/>
      <c r="S236" s="2"/>
      <c r="T236" s="2"/>
      <c r="U236" s="2"/>
      <c r="V236" s="2"/>
      <c r="W236" s="2"/>
      <c r="X236" s="2"/>
      <c r="Y236" s="2"/>
      <c r="Z236" s="2"/>
      <c r="AA236" s="2"/>
    </row>
    <row r="237" customFormat="false" ht="15.75" hidden="false" customHeight="false" outlineLevel="0" collapsed="false">
      <c r="A237" s="2"/>
      <c r="B237" s="2" t="s">
        <v>63</v>
      </c>
      <c r="C237" s="2" t="s">
        <v>89</v>
      </c>
      <c r="D237" s="2" t="s">
        <v>93</v>
      </c>
      <c r="E237" s="2" t="s">
        <v>81</v>
      </c>
      <c r="F237" s="2" t="s">
        <v>75</v>
      </c>
      <c r="G237" s="2"/>
      <c r="H237" s="2"/>
      <c r="I237" s="2" t="s">
        <v>72</v>
      </c>
      <c r="J237" s="2" t="s">
        <v>93</v>
      </c>
      <c r="K237" s="2" t="s">
        <v>93</v>
      </c>
      <c r="L237" s="2" t="s">
        <v>96</v>
      </c>
      <c r="M237" s="2" t="s">
        <v>69</v>
      </c>
      <c r="N237" s="2"/>
      <c r="O237" s="2"/>
      <c r="P237" s="2"/>
      <c r="Q237" s="2"/>
      <c r="R237" s="2"/>
      <c r="S237" s="2"/>
      <c r="T237" s="2"/>
      <c r="U237" s="2"/>
      <c r="V237" s="2"/>
      <c r="W237" s="2"/>
      <c r="X237" s="2"/>
      <c r="Y237" s="2"/>
      <c r="Z237" s="2"/>
      <c r="AA237" s="2"/>
    </row>
    <row r="238" customFormat="false" ht="15.75" hidden="false" customHeight="false" outlineLevel="0" collapsed="false">
      <c r="A238" s="2"/>
      <c r="B238" s="2" t="s">
        <v>89</v>
      </c>
      <c r="C238" s="2" t="s">
        <v>96</v>
      </c>
      <c r="D238" s="2" t="s">
        <v>89</v>
      </c>
      <c r="E238" s="2" t="s">
        <v>78</v>
      </c>
      <c r="F238" s="2" t="s">
        <v>93</v>
      </c>
      <c r="G238" s="2"/>
      <c r="H238" s="2"/>
      <c r="I238" s="2" t="s">
        <v>72</v>
      </c>
      <c r="J238" s="2" t="s">
        <v>96</v>
      </c>
      <c r="K238" s="2" t="s">
        <v>78</v>
      </c>
      <c r="L238" s="2" t="s">
        <v>149</v>
      </c>
      <c r="M238" s="2" t="s">
        <v>69</v>
      </c>
      <c r="N238" s="2"/>
      <c r="O238" s="2"/>
      <c r="P238" s="2"/>
      <c r="Q238" s="2"/>
      <c r="R238" s="2"/>
      <c r="S238" s="2"/>
      <c r="T238" s="2"/>
      <c r="U238" s="2"/>
      <c r="V238" s="2"/>
      <c r="W238" s="2"/>
      <c r="X238" s="2"/>
      <c r="Y238" s="2"/>
      <c r="Z238" s="2"/>
      <c r="AA238" s="2"/>
    </row>
    <row r="239" customFormat="false" ht="15.75" hidden="false" customHeight="false" outlineLevel="0" collapsed="false">
      <c r="A239" s="2"/>
      <c r="B239" s="2" t="s">
        <v>89</v>
      </c>
      <c r="C239" s="2" t="s">
        <v>81</v>
      </c>
      <c r="D239" s="2" t="s">
        <v>89</v>
      </c>
      <c r="E239" s="2" t="s">
        <v>78</v>
      </c>
      <c r="F239" s="2" t="s">
        <v>89</v>
      </c>
      <c r="G239" s="2"/>
      <c r="H239" s="2"/>
      <c r="I239" s="2" t="s">
        <v>72</v>
      </c>
      <c r="J239" s="2" t="s">
        <v>96</v>
      </c>
      <c r="K239" s="2" t="s">
        <v>78</v>
      </c>
      <c r="L239" s="2" t="s">
        <v>75</v>
      </c>
      <c r="M239" s="2" t="s">
        <v>69</v>
      </c>
      <c r="N239" s="2"/>
      <c r="O239" s="2"/>
      <c r="P239" s="2"/>
      <c r="Q239" s="2"/>
      <c r="R239" s="2"/>
      <c r="S239" s="2"/>
      <c r="T239" s="2"/>
      <c r="U239" s="2"/>
      <c r="V239" s="2"/>
      <c r="W239" s="2"/>
      <c r="X239" s="2"/>
      <c r="Y239" s="2"/>
      <c r="Z239" s="2"/>
      <c r="AA239" s="2"/>
    </row>
    <row r="240" customFormat="false" ht="15.75" hidden="false" customHeight="false" outlineLevel="0" collapsed="false">
      <c r="A240" s="2"/>
      <c r="B240" s="2" t="s">
        <v>75</v>
      </c>
      <c r="C240" s="2" t="s">
        <v>69</v>
      </c>
      <c r="D240" s="2" t="s">
        <v>75</v>
      </c>
      <c r="E240" s="2" t="s">
        <v>78</v>
      </c>
      <c r="F240" s="2" t="s">
        <v>89</v>
      </c>
      <c r="G240" s="2"/>
      <c r="H240" s="2"/>
      <c r="I240" s="2" t="s">
        <v>93</v>
      </c>
      <c r="J240" s="2" t="s">
        <v>96</v>
      </c>
      <c r="K240" s="2" t="s">
        <v>78</v>
      </c>
      <c r="L240" s="2" t="s">
        <v>75</v>
      </c>
      <c r="M240" s="2" t="s">
        <v>69</v>
      </c>
      <c r="N240" s="2"/>
      <c r="O240" s="2"/>
      <c r="P240" s="2"/>
      <c r="Q240" s="2"/>
      <c r="R240" s="2"/>
      <c r="S240" s="2"/>
      <c r="T240" s="2"/>
      <c r="U240" s="2"/>
      <c r="V240" s="2"/>
      <c r="W240" s="2"/>
      <c r="X240" s="2"/>
      <c r="Y240" s="2"/>
      <c r="Z240" s="2"/>
      <c r="AA240" s="2"/>
    </row>
    <row r="241" customFormat="false" ht="15.75" hidden="false" customHeight="false" outlineLevel="0" collapsed="false">
      <c r="A241" s="2"/>
      <c r="B241" s="2" t="s">
        <v>93</v>
      </c>
      <c r="C241" s="2" t="s">
        <v>93</v>
      </c>
      <c r="D241" s="2" t="s">
        <v>93</v>
      </c>
      <c r="E241" s="2" t="s">
        <v>93</v>
      </c>
      <c r="F241" s="2" t="s">
        <v>96</v>
      </c>
      <c r="G241" s="2"/>
      <c r="H241" s="2"/>
      <c r="I241" s="2" t="s">
        <v>93</v>
      </c>
      <c r="J241" s="2" t="s">
        <v>149</v>
      </c>
      <c r="K241" s="2" t="s">
        <v>78</v>
      </c>
      <c r="L241" s="2" t="s">
        <v>75</v>
      </c>
      <c r="M241" s="2" t="s">
        <v>69</v>
      </c>
      <c r="N241" s="2"/>
      <c r="O241" s="2"/>
      <c r="P241" s="2"/>
      <c r="Q241" s="2"/>
      <c r="R241" s="2"/>
      <c r="S241" s="2"/>
      <c r="T241" s="2"/>
      <c r="U241" s="2"/>
      <c r="V241" s="2"/>
      <c r="W241" s="2"/>
      <c r="X241" s="2"/>
      <c r="Y241" s="2"/>
      <c r="Z241" s="2"/>
      <c r="AA241" s="2"/>
    </row>
    <row r="242" customFormat="false" ht="15.75" hidden="false" customHeight="false" outlineLevel="0" collapsed="false">
      <c r="A242" s="2"/>
      <c r="B242" s="2" t="s">
        <v>81</v>
      </c>
      <c r="C242" s="2" t="s">
        <v>93</v>
      </c>
      <c r="D242" s="2" t="s">
        <v>66</v>
      </c>
      <c r="E242" s="2" t="s">
        <v>78</v>
      </c>
      <c r="F242" s="2" t="s">
        <v>75</v>
      </c>
      <c r="G242" s="2"/>
      <c r="H242" s="2"/>
      <c r="I242" s="2" t="s">
        <v>93</v>
      </c>
      <c r="J242" s="2" t="s">
        <v>96</v>
      </c>
      <c r="K242" s="2" t="s">
        <v>66</v>
      </c>
      <c r="L242" s="2" t="s">
        <v>75</v>
      </c>
      <c r="M242" s="2" t="s">
        <v>69</v>
      </c>
      <c r="N242" s="2"/>
      <c r="O242" s="2"/>
      <c r="P242" s="2"/>
      <c r="Q242" s="2"/>
      <c r="R242" s="2"/>
      <c r="S242" s="2"/>
      <c r="T242" s="2"/>
      <c r="U242" s="2"/>
      <c r="V242" s="2"/>
      <c r="W242" s="2"/>
      <c r="X242" s="2"/>
      <c r="Y242" s="2"/>
      <c r="Z242" s="2"/>
      <c r="AA242" s="2"/>
    </row>
    <row r="243" customFormat="false" ht="15.75" hidden="false" customHeight="false" outlineLevel="0" collapsed="false">
      <c r="A243" s="2"/>
      <c r="B243" s="2" t="s">
        <v>89</v>
      </c>
      <c r="C243" s="2" t="s">
        <v>83</v>
      </c>
      <c r="D243" s="2" t="s">
        <v>72</v>
      </c>
      <c r="E243" s="2" t="s">
        <v>69</v>
      </c>
      <c r="F243" s="2" t="s">
        <v>147</v>
      </c>
      <c r="G243" s="2"/>
      <c r="H243" s="2"/>
      <c r="I243" s="2" t="s">
        <v>93</v>
      </c>
      <c r="J243" s="2" t="s">
        <v>72</v>
      </c>
      <c r="K243" s="2" t="s">
        <v>66</v>
      </c>
      <c r="L243" s="2" t="s">
        <v>63</v>
      </c>
      <c r="M243" s="2" t="s">
        <v>69</v>
      </c>
      <c r="N243" s="2"/>
      <c r="O243" s="2"/>
      <c r="P243" s="2"/>
      <c r="Q243" s="2"/>
      <c r="R243" s="2"/>
      <c r="S243" s="2"/>
      <c r="T243" s="2"/>
      <c r="U243" s="2"/>
      <c r="V243" s="2"/>
      <c r="W243" s="2"/>
      <c r="X243" s="2"/>
      <c r="Y243" s="2"/>
      <c r="Z243" s="2"/>
      <c r="AA243" s="2"/>
    </row>
    <row r="244" customFormat="false" ht="15.75" hidden="false" customHeight="false" outlineLevel="0" collapsed="false">
      <c r="A244" s="2"/>
      <c r="B244" s="2" t="s">
        <v>93</v>
      </c>
      <c r="C244" s="2" t="s">
        <v>83</v>
      </c>
      <c r="D244" s="2" t="s">
        <v>81</v>
      </c>
      <c r="E244" s="2" t="s">
        <v>83</v>
      </c>
      <c r="F244" s="2" t="s">
        <v>75</v>
      </c>
      <c r="G244" s="2"/>
      <c r="H244" s="2"/>
      <c r="I244" s="2" t="s">
        <v>72</v>
      </c>
      <c r="J244" s="2" t="s">
        <v>72</v>
      </c>
      <c r="K244" s="2" t="s">
        <v>66</v>
      </c>
      <c r="L244" s="2" t="s">
        <v>63</v>
      </c>
      <c r="M244" s="2" t="s">
        <v>69</v>
      </c>
      <c r="N244" s="2"/>
      <c r="O244" s="2"/>
      <c r="P244" s="2"/>
      <c r="Q244" s="2"/>
      <c r="R244" s="2"/>
      <c r="S244" s="2"/>
      <c r="T244" s="2"/>
      <c r="U244" s="2"/>
      <c r="V244" s="2"/>
      <c r="W244" s="2"/>
      <c r="X244" s="2"/>
      <c r="Y244" s="2"/>
      <c r="Z244" s="2"/>
      <c r="AA244" s="2"/>
    </row>
    <row r="245" customFormat="false" ht="15.75" hidden="false" customHeight="false" outlineLevel="0" collapsed="false">
      <c r="A245" s="2"/>
      <c r="B245" s="2" t="s">
        <v>89</v>
      </c>
      <c r="C245" s="2" t="s">
        <v>75</v>
      </c>
      <c r="D245" s="2" t="s">
        <v>78</v>
      </c>
      <c r="E245" s="2" t="s">
        <v>89</v>
      </c>
      <c r="F245" s="2" t="s">
        <v>83</v>
      </c>
      <c r="G245" s="2"/>
      <c r="H245" s="2"/>
      <c r="I245" s="2" t="s">
        <v>72</v>
      </c>
      <c r="J245" s="2" t="s">
        <v>72</v>
      </c>
      <c r="K245" s="2" t="s">
        <v>66</v>
      </c>
      <c r="L245" s="2" t="s">
        <v>63</v>
      </c>
      <c r="M245" s="2" t="s">
        <v>89</v>
      </c>
      <c r="N245" s="2"/>
      <c r="O245" s="2"/>
      <c r="P245" s="2"/>
      <c r="Q245" s="2"/>
      <c r="R245" s="2"/>
      <c r="S245" s="2"/>
      <c r="T245" s="2"/>
      <c r="U245" s="2"/>
      <c r="V245" s="2"/>
      <c r="W245" s="2"/>
      <c r="X245" s="2"/>
      <c r="Y245" s="2"/>
      <c r="Z245" s="2"/>
      <c r="AA245" s="2"/>
    </row>
    <row r="246" customFormat="false" ht="15.75" hidden="false" customHeight="false" outlineLevel="0" collapsed="false">
      <c r="A246" s="2"/>
      <c r="B246" s="2" t="s">
        <v>147</v>
      </c>
      <c r="C246" s="2" t="s">
        <v>93</v>
      </c>
      <c r="D246" s="2" t="s">
        <v>83</v>
      </c>
      <c r="E246" s="2" t="s">
        <v>89</v>
      </c>
      <c r="F246" s="2" t="s">
        <v>93</v>
      </c>
      <c r="G246" s="2"/>
      <c r="H246" s="2"/>
      <c r="I246" s="2" t="s">
        <v>72</v>
      </c>
      <c r="J246" s="2" t="s">
        <v>72</v>
      </c>
      <c r="K246" s="2" t="s">
        <v>66</v>
      </c>
      <c r="L246" s="2" t="s">
        <v>63</v>
      </c>
      <c r="M246" s="2" t="s">
        <v>89</v>
      </c>
      <c r="N246" s="2"/>
      <c r="O246" s="2"/>
      <c r="P246" s="2"/>
      <c r="Q246" s="2"/>
      <c r="R246" s="2"/>
      <c r="S246" s="2"/>
      <c r="T246" s="2"/>
      <c r="U246" s="2"/>
      <c r="V246" s="2"/>
      <c r="W246" s="2"/>
      <c r="X246" s="2"/>
      <c r="Y246" s="2"/>
      <c r="Z246" s="2"/>
      <c r="AA246" s="2"/>
    </row>
    <row r="247" customFormat="false" ht="15.75" hidden="false" customHeight="false" outlineLevel="0" collapsed="false">
      <c r="A247" s="2"/>
      <c r="B247" s="2" t="s">
        <v>75</v>
      </c>
      <c r="C247" s="2" t="s">
        <v>81</v>
      </c>
      <c r="D247" s="2" t="s">
        <v>147</v>
      </c>
      <c r="E247" s="2" t="s">
        <v>72</v>
      </c>
      <c r="F247" s="2" t="s">
        <v>75</v>
      </c>
      <c r="G247" s="2"/>
      <c r="H247" s="2"/>
      <c r="I247" s="2" t="s">
        <v>72</v>
      </c>
      <c r="J247" s="2" t="s">
        <v>89</v>
      </c>
      <c r="K247" s="2" t="s">
        <v>66</v>
      </c>
      <c r="L247" s="2" t="s">
        <v>72</v>
      </c>
      <c r="M247" s="2" t="s">
        <v>89</v>
      </c>
      <c r="N247" s="2"/>
      <c r="O247" s="2"/>
      <c r="P247" s="2"/>
      <c r="Q247" s="2"/>
      <c r="R247" s="2"/>
      <c r="S247" s="2"/>
      <c r="T247" s="2"/>
      <c r="U247" s="2"/>
      <c r="V247" s="2"/>
      <c r="W247" s="2"/>
      <c r="X247" s="2"/>
      <c r="Y247" s="2"/>
      <c r="Z247" s="2"/>
      <c r="AA247" s="2"/>
    </row>
    <row r="248" customFormat="false" ht="15.75" hidden="false" customHeight="false" outlineLevel="0" collapsed="false">
      <c r="A248" s="2"/>
      <c r="B248" s="2" t="s">
        <v>89</v>
      </c>
      <c r="C248" s="2" t="s">
        <v>66</v>
      </c>
      <c r="D248" s="2" t="s">
        <v>66</v>
      </c>
      <c r="E248" s="2" t="s">
        <v>72</v>
      </c>
      <c r="F248" s="2" t="s">
        <v>75</v>
      </c>
      <c r="G248" s="2"/>
      <c r="H248" s="2"/>
      <c r="I248" s="2" t="s">
        <v>78</v>
      </c>
      <c r="J248" s="2" t="s">
        <v>89</v>
      </c>
      <c r="K248" s="2" t="s">
        <v>66</v>
      </c>
      <c r="L248" s="2" t="s">
        <v>72</v>
      </c>
      <c r="M248" s="2" t="s">
        <v>89</v>
      </c>
      <c r="N248" s="2"/>
      <c r="O248" s="2"/>
      <c r="P248" s="2"/>
      <c r="Q248" s="2"/>
      <c r="R248" s="2"/>
      <c r="S248" s="2"/>
      <c r="T248" s="2"/>
      <c r="U248" s="2"/>
      <c r="V248" s="2"/>
      <c r="W248" s="2"/>
      <c r="X248" s="2"/>
      <c r="Y248" s="2"/>
      <c r="Z248" s="2"/>
      <c r="AA248" s="2"/>
    </row>
    <row r="249" customFormat="false" ht="15.75" hidden="false" customHeight="false" outlineLevel="0" collapsed="false">
      <c r="A249" s="2"/>
      <c r="B249" s="2" t="s">
        <v>69</v>
      </c>
      <c r="C249" s="2" t="s">
        <v>83</v>
      </c>
      <c r="D249" s="2" t="s">
        <v>78</v>
      </c>
      <c r="E249" s="2" t="s">
        <v>96</v>
      </c>
      <c r="F249" s="2" t="s">
        <v>75</v>
      </c>
      <c r="G249" s="2"/>
      <c r="H249" s="2"/>
      <c r="I249" s="2" t="s">
        <v>78</v>
      </c>
      <c r="J249" s="2" t="s">
        <v>89</v>
      </c>
      <c r="K249" s="2" t="s">
        <v>66</v>
      </c>
      <c r="L249" s="2" t="s">
        <v>72</v>
      </c>
      <c r="M249" s="2" t="s">
        <v>93</v>
      </c>
      <c r="N249" s="2"/>
      <c r="O249" s="2"/>
      <c r="P249" s="2"/>
      <c r="Q249" s="2"/>
      <c r="R249" s="2"/>
      <c r="S249" s="2"/>
      <c r="T249" s="2"/>
      <c r="U249" s="2"/>
      <c r="V249" s="2"/>
      <c r="W249" s="2"/>
      <c r="X249" s="2"/>
      <c r="Y249" s="2"/>
      <c r="Z249" s="2"/>
      <c r="AA249" s="2"/>
    </row>
    <row r="250" customFormat="false" ht="15.75" hidden="false" customHeight="false" outlineLevel="0" collapsed="false">
      <c r="A250" s="2"/>
      <c r="B250" s="2" t="s">
        <v>96</v>
      </c>
      <c r="C250" s="2" t="s">
        <v>75</v>
      </c>
      <c r="D250" s="2" t="s">
        <v>81</v>
      </c>
      <c r="E250" s="2" t="s">
        <v>78</v>
      </c>
      <c r="F250" s="2" t="s">
        <v>81</v>
      </c>
      <c r="G250" s="2"/>
      <c r="H250" s="2"/>
      <c r="I250" s="2" t="s">
        <v>78</v>
      </c>
      <c r="J250" s="2" t="s">
        <v>89</v>
      </c>
      <c r="K250" s="2" t="s">
        <v>78</v>
      </c>
      <c r="L250" s="2" t="s">
        <v>72</v>
      </c>
      <c r="M250" s="2" t="s">
        <v>93</v>
      </c>
      <c r="N250" s="2"/>
      <c r="O250" s="2"/>
      <c r="P250" s="2"/>
      <c r="Q250" s="2"/>
      <c r="R250" s="2"/>
      <c r="S250" s="2"/>
      <c r="T250" s="2"/>
      <c r="U250" s="2"/>
      <c r="V250" s="2"/>
      <c r="W250" s="2"/>
      <c r="X250" s="2"/>
      <c r="Y250" s="2"/>
      <c r="Z250" s="2"/>
      <c r="AA250" s="2"/>
    </row>
    <row r="251" customFormat="false" ht="15.75" hidden="false" customHeight="false" outlineLevel="0" collapsed="false">
      <c r="A251" s="2"/>
      <c r="B251" s="2" t="s">
        <v>72</v>
      </c>
      <c r="C251" s="2" t="s">
        <v>66</v>
      </c>
      <c r="D251" s="2" t="s">
        <v>78</v>
      </c>
      <c r="E251" s="2" t="s">
        <v>93</v>
      </c>
      <c r="F251" s="2" t="s">
        <v>96</v>
      </c>
      <c r="G251" s="2"/>
      <c r="H251" s="2"/>
      <c r="I251" s="2" t="s">
        <v>78</v>
      </c>
      <c r="J251" s="2" t="s">
        <v>81</v>
      </c>
      <c r="K251" s="2" t="s">
        <v>78</v>
      </c>
      <c r="L251" s="2" t="s">
        <v>78</v>
      </c>
      <c r="M251" s="2" t="s">
        <v>93</v>
      </c>
      <c r="N251" s="2"/>
      <c r="O251" s="2"/>
      <c r="P251" s="2"/>
      <c r="Q251" s="2"/>
      <c r="R251" s="2"/>
      <c r="S251" s="2"/>
      <c r="T251" s="2"/>
      <c r="U251" s="2"/>
      <c r="V251" s="2"/>
      <c r="W251" s="2"/>
      <c r="X251" s="2"/>
      <c r="Y251" s="2"/>
      <c r="Z251" s="2"/>
      <c r="AA251" s="2"/>
    </row>
    <row r="252" customFormat="false" ht="15.75" hidden="false" customHeight="false" outlineLevel="0" collapsed="false">
      <c r="A252" s="2"/>
      <c r="B252" s="2" t="s">
        <v>83</v>
      </c>
      <c r="C252" s="2" t="s">
        <v>69</v>
      </c>
      <c r="D252" s="2" t="s">
        <v>72</v>
      </c>
      <c r="E252" s="2" t="s">
        <v>83</v>
      </c>
      <c r="F252" s="2" t="s">
        <v>78</v>
      </c>
      <c r="G252" s="2"/>
      <c r="H252" s="2"/>
      <c r="I252" s="2" t="s">
        <v>66</v>
      </c>
      <c r="J252" s="2" t="s">
        <v>81</v>
      </c>
      <c r="K252" s="2" t="s">
        <v>78</v>
      </c>
      <c r="L252" s="2" t="s">
        <v>78</v>
      </c>
      <c r="M252" s="2" t="s">
        <v>93</v>
      </c>
      <c r="N252" s="2"/>
      <c r="O252" s="2"/>
      <c r="P252" s="2"/>
      <c r="Q252" s="2"/>
      <c r="R252" s="2"/>
      <c r="S252" s="2"/>
      <c r="T252" s="2"/>
      <c r="U252" s="2"/>
      <c r="V252" s="2"/>
      <c r="W252" s="2"/>
      <c r="X252" s="2"/>
      <c r="Y252" s="2"/>
      <c r="Z252" s="2"/>
      <c r="AA252" s="2"/>
    </row>
    <row r="253" customFormat="false" ht="15.75" hidden="false" customHeight="false" outlineLevel="0" collapsed="false">
      <c r="A253" s="2"/>
      <c r="B253" s="2" t="s">
        <v>81</v>
      </c>
      <c r="C253" s="2" t="s">
        <v>96</v>
      </c>
      <c r="D253" s="2" t="s">
        <v>147</v>
      </c>
      <c r="E253" s="2" t="s">
        <v>96</v>
      </c>
      <c r="F253" s="2" t="s">
        <v>89</v>
      </c>
      <c r="G253" s="2"/>
      <c r="H253" s="2"/>
      <c r="I253" s="2" t="s">
        <v>66</v>
      </c>
      <c r="J253" s="2" t="s">
        <v>81</v>
      </c>
      <c r="K253" s="2" t="s">
        <v>78</v>
      </c>
      <c r="L253" s="2" t="s">
        <v>78</v>
      </c>
      <c r="M253" s="2" t="s">
        <v>63</v>
      </c>
      <c r="N253" s="2"/>
      <c r="O253" s="2"/>
      <c r="P253" s="2"/>
      <c r="Q253" s="2"/>
      <c r="R253" s="2"/>
      <c r="S253" s="2"/>
      <c r="T253" s="2"/>
      <c r="U253" s="2"/>
      <c r="V253" s="2"/>
      <c r="W253" s="2"/>
      <c r="X253" s="2"/>
      <c r="Y253" s="2"/>
      <c r="Z253" s="2"/>
      <c r="AA253" s="2"/>
    </row>
    <row r="254" customFormat="false" ht="15.75" hidden="false" customHeight="false" outlineLevel="0" collapsed="false">
      <c r="A254" s="2"/>
      <c r="B254" s="2" t="s">
        <v>78</v>
      </c>
      <c r="C254" s="2" t="s">
        <v>93</v>
      </c>
      <c r="D254" s="2" t="s">
        <v>72</v>
      </c>
      <c r="E254" s="2" t="s">
        <v>69</v>
      </c>
      <c r="F254" s="2" t="s">
        <v>75</v>
      </c>
      <c r="G254" s="2"/>
      <c r="H254" s="2"/>
      <c r="I254" s="2" t="s">
        <v>66</v>
      </c>
      <c r="J254" s="2" t="s">
        <v>81</v>
      </c>
      <c r="K254" s="2" t="s">
        <v>149</v>
      </c>
      <c r="L254" s="2" t="s">
        <v>78</v>
      </c>
      <c r="M254" s="2" t="s">
        <v>63</v>
      </c>
      <c r="N254" s="2"/>
      <c r="O254" s="2"/>
      <c r="P254" s="2"/>
      <c r="Q254" s="2"/>
      <c r="R254" s="2"/>
      <c r="S254" s="2"/>
      <c r="T254" s="2"/>
      <c r="U254" s="2"/>
      <c r="V254" s="2"/>
      <c r="W254" s="2"/>
      <c r="X254" s="2"/>
      <c r="Y254" s="2"/>
      <c r="Z254" s="2"/>
      <c r="AA254" s="2"/>
    </row>
    <row r="255" customFormat="false" ht="15.75" hidden="false" customHeight="false" outlineLevel="0" collapsed="false">
      <c r="A255" s="2"/>
      <c r="B255" s="2" t="s">
        <v>81</v>
      </c>
      <c r="C255" s="2" t="s">
        <v>72</v>
      </c>
      <c r="D255" s="2" t="s">
        <v>93</v>
      </c>
      <c r="E255" s="2" t="s">
        <v>81</v>
      </c>
      <c r="F255" s="2" t="s">
        <v>75</v>
      </c>
      <c r="G255" s="2"/>
      <c r="H255" s="2"/>
      <c r="I255" s="2" t="s">
        <v>66</v>
      </c>
      <c r="J255" s="2" t="s">
        <v>89</v>
      </c>
      <c r="K255" s="2" t="s">
        <v>149</v>
      </c>
      <c r="L255" s="2" t="s">
        <v>81</v>
      </c>
      <c r="M255" s="2" t="s">
        <v>63</v>
      </c>
      <c r="N255" s="2"/>
      <c r="O255" s="2"/>
      <c r="P255" s="2"/>
      <c r="Q255" s="2"/>
      <c r="R255" s="2"/>
      <c r="S255" s="2"/>
      <c r="T255" s="2"/>
      <c r="U255" s="2"/>
      <c r="V255" s="2"/>
      <c r="W255" s="2"/>
      <c r="X255" s="2"/>
      <c r="Y255" s="2"/>
      <c r="Z255" s="2"/>
      <c r="AA255" s="2"/>
    </row>
    <row r="256" customFormat="false" ht="15.75" hidden="false" customHeight="false" outlineLevel="0" collapsed="false">
      <c r="A256" s="2"/>
      <c r="B256" s="2" t="s">
        <v>66</v>
      </c>
      <c r="C256" s="2" t="s">
        <v>93</v>
      </c>
      <c r="D256" s="2" t="s">
        <v>78</v>
      </c>
      <c r="E256" s="2" t="s">
        <v>83</v>
      </c>
      <c r="F256" s="2" t="s">
        <v>81</v>
      </c>
      <c r="G256" s="2"/>
      <c r="H256" s="2"/>
      <c r="I256" s="2" t="s">
        <v>75</v>
      </c>
      <c r="J256" s="2" t="s">
        <v>89</v>
      </c>
      <c r="K256" s="2" t="s">
        <v>96</v>
      </c>
      <c r="L256" s="2" t="s">
        <v>81</v>
      </c>
      <c r="M256" s="2" t="s">
        <v>63</v>
      </c>
      <c r="N256" s="2"/>
      <c r="O256" s="2"/>
      <c r="P256" s="2"/>
      <c r="Q256" s="2"/>
      <c r="R256" s="2"/>
      <c r="S256" s="2"/>
      <c r="T256" s="2"/>
      <c r="U256" s="2"/>
      <c r="V256" s="2"/>
      <c r="W256" s="2"/>
      <c r="X256" s="2"/>
      <c r="Y256" s="2"/>
      <c r="Z256" s="2"/>
      <c r="AA256" s="2"/>
    </row>
    <row r="257" customFormat="false" ht="15.75" hidden="false" customHeight="false" outlineLevel="0" collapsed="false">
      <c r="A257" s="2"/>
      <c r="B257" s="2" t="s">
        <v>63</v>
      </c>
      <c r="C257" s="2" t="s">
        <v>89</v>
      </c>
      <c r="D257" s="2" t="s">
        <v>93</v>
      </c>
      <c r="E257" s="2" t="s">
        <v>96</v>
      </c>
      <c r="F257" s="2" t="s">
        <v>72</v>
      </c>
      <c r="G257" s="2"/>
      <c r="H257" s="2"/>
      <c r="I257" s="2" t="s">
        <v>75</v>
      </c>
      <c r="J257" s="2" t="s">
        <v>89</v>
      </c>
      <c r="K257" s="2" t="s">
        <v>96</v>
      </c>
      <c r="L257" s="2" t="s">
        <v>81</v>
      </c>
      <c r="M257" s="2" t="s">
        <v>72</v>
      </c>
      <c r="N257" s="2"/>
      <c r="O257" s="2"/>
      <c r="P257" s="2"/>
      <c r="Q257" s="2"/>
      <c r="R257" s="2"/>
      <c r="S257" s="2"/>
      <c r="T257" s="2"/>
      <c r="U257" s="2"/>
      <c r="V257" s="2"/>
      <c r="W257" s="2"/>
      <c r="X257" s="2"/>
      <c r="Y257" s="2"/>
      <c r="Z257" s="2"/>
      <c r="AA257" s="2"/>
    </row>
    <row r="258" customFormat="false" ht="15.75" hidden="false" customHeight="false" outlineLevel="0" collapsed="false">
      <c r="A258" s="2"/>
      <c r="B258" s="2" t="s">
        <v>83</v>
      </c>
      <c r="C258" s="2" t="s">
        <v>75</v>
      </c>
      <c r="D258" s="2" t="s">
        <v>63</v>
      </c>
      <c r="E258" s="2" t="s">
        <v>89</v>
      </c>
      <c r="F258" s="2" t="s">
        <v>75</v>
      </c>
      <c r="G258" s="2"/>
      <c r="H258" s="2"/>
      <c r="I258" s="2" t="s">
        <v>75</v>
      </c>
      <c r="J258" s="2" t="s">
        <v>89</v>
      </c>
      <c r="K258" s="2" t="s">
        <v>96</v>
      </c>
      <c r="L258" s="2" t="s">
        <v>81</v>
      </c>
      <c r="M258" s="2" t="s">
        <v>72</v>
      </c>
      <c r="N258" s="2"/>
      <c r="O258" s="2"/>
      <c r="P258" s="2"/>
      <c r="Q258" s="2"/>
      <c r="R258" s="2"/>
      <c r="S258" s="2"/>
      <c r="T258" s="2"/>
      <c r="U258" s="2"/>
      <c r="V258" s="2"/>
      <c r="W258" s="2"/>
      <c r="X258" s="2"/>
      <c r="Y258" s="2"/>
      <c r="Z258" s="2"/>
      <c r="AA258" s="2"/>
    </row>
    <row r="259" customFormat="false" ht="15.75" hidden="false" customHeight="false" outlineLevel="0" collapsed="false">
      <c r="A259" s="2"/>
      <c r="B259" s="2" t="s">
        <v>81</v>
      </c>
      <c r="C259" s="2" t="s">
        <v>69</v>
      </c>
      <c r="D259" s="2" t="s">
        <v>89</v>
      </c>
      <c r="E259" s="2" t="s">
        <v>93</v>
      </c>
      <c r="F259" s="2" t="s">
        <v>78</v>
      </c>
      <c r="G259" s="2"/>
      <c r="H259" s="2"/>
      <c r="I259" s="2" t="s">
        <v>75</v>
      </c>
      <c r="J259" s="2" t="s">
        <v>66</v>
      </c>
      <c r="K259" s="2" t="s">
        <v>149</v>
      </c>
      <c r="L259" s="2" t="s">
        <v>149</v>
      </c>
      <c r="M259" s="2" t="s">
        <v>72</v>
      </c>
      <c r="N259" s="2"/>
      <c r="O259" s="2"/>
      <c r="P259" s="2"/>
      <c r="Q259" s="2"/>
      <c r="R259" s="2"/>
      <c r="S259" s="2"/>
      <c r="T259" s="2"/>
      <c r="U259" s="2"/>
      <c r="V259" s="2"/>
      <c r="W259" s="2"/>
      <c r="X259" s="2"/>
      <c r="Y259" s="2"/>
      <c r="Z259" s="2"/>
      <c r="AA259" s="2"/>
    </row>
    <row r="260" customFormat="false" ht="15.75" hidden="false" customHeight="false" outlineLevel="0" collapsed="false">
      <c r="A260" s="2"/>
      <c r="B260" s="2" t="s">
        <v>78</v>
      </c>
      <c r="C260" s="2" t="s">
        <v>89</v>
      </c>
      <c r="D260" s="2" t="s">
        <v>96</v>
      </c>
      <c r="E260" s="2" t="s">
        <v>89</v>
      </c>
      <c r="F260" s="2" t="s">
        <v>78</v>
      </c>
      <c r="G260" s="2"/>
      <c r="H260" s="2"/>
      <c r="I260" s="2" t="s">
        <v>89</v>
      </c>
      <c r="J260" s="2" t="s">
        <v>66</v>
      </c>
      <c r="K260" s="2" t="s">
        <v>96</v>
      </c>
      <c r="L260" s="2" t="s">
        <v>78</v>
      </c>
      <c r="M260" s="2" t="s">
        <v>72</v>
      </c>
      <c r="N260" s="2"/>
      <c r="O260" s="2"/>
      <c r="P260" s="2"/>
      <c r="Q260" s="2"/>
      <c r="R260" s="2"/>
      <c r="S260" s="2"/>
      <c r="T260" s="2"/>
      <c r="U260" s="2"/>
      <c r="V260" s="2"/>
      <c r="W260" s="2"/>
      <c r="X260" s="2"/>
      <c r="Y260" s="2"/>
      <c r="Z260" s="2"/>
      <c r="AA260" s="2"/>
    </row>
    <row r="261" customFormat="false" ht="15.75" hidden="false" customHeight="false" outlineLevel="0" collapsed="false">
      <c r="A261" s="2"/>
      <c r="B261" s="2" t="s">
        <v>69</v>
      </c>
      <c r="C261" s="2" t="s">
        <v>89</v>
      </c>
      <c r="D261" s="2" t="s">
        <v>69</v>
      </c>
      <c r="E261" s="2" t="s">
        <v>78</v>
      </c>
      <c r="F261" s="2" t="s">
        <v>63</v>
      </c>
      <c r="G261" s="2"/>
      <c r="H261" s="2"/>
      <c r="I261" s="2" t="s">
        <v>89</v>
      </c>
      <c r="J261" s="2" t="s">
        <v>66</v>
      </c>
      <c r="K261" s="2" t="s">
        <v>81</v>
      </c>
      <c r="L261" s="2" t="s">
        <v>78</v>
      </c>
      <c r="M261" s="2" t="s">
        <v>83</v>
      </c>
      <c r="N261" s="2"/>
      <c r="O261" s="2"/>
      <c r="P261" s="2"/>
      <c r="Q261" s="2"/>
      <c r="R261" s="2"/>
      <c r="S261" s="2"/>
      <c r="T261" s="2"/>
      <c r="U261" s="2"/>
      <c r="V261" s="2"/>
      <c r="W261" s="2"/>
      <c r="X261" s="2"/>
      <c r="Y261" s="2"/>
      <c r="Z261" s="2"/>
      <c r="AA261" s="2"/>
    </row>
    <row r="262" customFormat="false" ht="15.75" hidden="false" customHeight="false" outlineLevel="0" collapsed="false">
      <c r="A262" s="2"/>
      <c r="B262" s="2" t="s">
        <v>72</v>
      </c>
      <c r="C262" s="2" t="s">
        <v>81</v>
      </c>
      <c r="D262" s="2" t="s">
        <v>69</v>
      </c>
      <c r="E262" s="2" t="s">
        <v>96</v>
      </c>
      <c r="F262" s="2" t="s">
        <v>75</v>
      </c>
      <c r="G262" s="2"/>
      <c r="H262" s="2"/>
      <c r="I262" s="2" t="s">
        <v>89</v>
      </c>
      <c r="J262" s="2" t="s">
        <v>66</v>
      </c>
      <c r="K262" s="2" t="s">
        <v>81</v>
      </c>
      <c r="L262" s="2" t="s">
        <v>78</v>
      </c>
      <c r="M262" s="2" t="s">
        <v>83</v>
      </c>
      <c r="N262" s="2"/>
      <c r="O262" s="2"/>
      <c r="P262" s="2"/>
      <c r="Q262" s="2"/>
      <c r="R262" s="2"/>
      <c r="S262" s="2"/>
      <c r="T262" s="2"/>
      <c r="U262" s="2"/>
      <c r="V262" s="2"/>
      <c r="W262" s="2"/>
      <c r="X262" s="2"/>
      <c r="Y262" s="2"/>
      <c r="Z262" s="2"/>
      <c r="AA262" s="2"/>
    </row>
    <row r="263" customFormat="false" ht="15.75" hidden="false" customHeight="false" outlineLevel="0" collapsed="false">
      <c r="A263" s="2"/>
      <c r="B263" s="2" t="s">
        <v>69</v>
      </c>
      <c r="C263" s="2" t="s">
        <v>66</v>
      </c>
      <c r="D263" s="2" t="s">
        <v>89</v>
      </c>
      <c r="E263" s="2" t="s">
        <v>81</v>
      </c>
      <c r="F263" s="2" t="s">
        <v>89</v>
      </c>
      <c r="G263" s="2"/>
      <c r="H263" s="2"/>
      <c r="I263" s="2" t="s">
        <v>89</v>
      </c>
      <c r="J263" s="2" t="s">
        <v>81</v>
      </c>
      <c r="K263" s="2" t="s">
        <v>81</v>
      </c>
      <c r="L263" s="2" t="s">
        <v>78</v>
      </c>
      <c r="M263" s="2" t="s">
        <v>83</v>
      </c>
      <c r="N263" s="2"/>
      <c r="O263" s="2"/>
      <c r="P263" s="2"/>
      <c r="Q263" s="2"/>
      <c r="R263" s="2"/>
      <c r="S263" s="2"/>
      <c r="T263" s="2"/>
      <c r="U263" s="2"/>
      <c r="V263" s="2"/>
      <c r="W263" s="2"/>
      <c r="X263" s="2"/>
      <c r="Y263" s="2"/>
      <c r="Z263" s="2"/>
      <c r="AA263" s="2"/>
    </row>
    <row r="264" customFormat="false" ht="15.75" hidden="false" customHeight="false" outlineLevel="0" collapsed="false">
      <c r="A264" s="2"/>
      <c r="B264" s="2" t="s">
        <v>81</v>
      </c>
      <c r="C264" s="2" t="s">
        <v>89</v>
      </c>
      <c r="D264" s="2" t="s">
        <v>75</v>
      </c>
      <c r="E264" s="2" t="s">
        <v>75</v>
      </c>
      <c r="F264" s="2" t="s">
        <v>96</v>
      </c>
      <c r="G264" s="2"/>
      <c r="H264" s="2"/>
      <c r="I264" s="2" t="s">
        <v>75</v>
      </c>
      <c r="J264" s="2" t="s">
        <v>81</v>
      </c>
      <c r="K264" s="2" t="s">
        <v>81</v>
      </c>
      <c r="L264" s="2" t="s">
        <v>75</v>
      </c>
      <c r="M264" s="2" t="s">
        <v>83</v>
      </c>
      <c r="N264" s="2"/>
      <c r="O264" s="2"/>
      <c r="P264" s="2"/>
      <c r="Q264" s="2"/>
      <c r="R264" s="2"/>
      <c r="S264" s="2"/>
      <c r="T264" s="2"/>
      <c r="U264" s="2"/>
      <c r="V264" s="2"/>
      <c r="W264" s="2"/>
      <c r="X264" s="2"/>
      <c r="Y264" s="2"/>
      <c r="Z264" s="2"/>
      <c r="AA264" s="2"/>
    </row>
    <row r="265" customFormat="false" ht="15.75" hidden="false" customHeight="false" outlineLevel="0" collapsed="false">
      <c r="A265" s="2"/>
      <c r="B265" s="2" t="s">
        <v>81</v>
      </c>
      <c r="C265" s="2" t="s">
        <v>69</v>
      </c>
      <c r="D265" s="2" t="s">
        <v>75</v>
      </c>
      <c r="E265" s="2" t="s">
        <v>93</v>
      </c>
      <c r="F265" s="2" t="s">
        <v>93</v>
      </c>
      <c r="G265" s="2"/>
      <c r="H265" s="2"/>
      <c r="I265" s="2" t="s">
        <v>75</v>
      </c>
      <c r="J265" s="2" t="s">
        <v>81</v>
      </c>
      <c r="K265" s="2" t="s">
        <v>75</v>
      </c>
      <c r="L265" s="2" t="s">
        <v>75</v>
      </c>
      <c r="M265" s="2" t="s">
        <v>66</v>
      </c>
      <c r="N265" s="2"/>
      <c r="O265" s="2"/>
      <c r="P265" s="2"/>
      <c r="Q265" s="2"/>
      <c r="R265" s="2"/>
      <c r="S265" s="2"/>
      <c r="T265" s="2"/>
      <c r="U265" s="2"/>
      <c r="V265" s="2"/>
      <c r="W265" s="2"/>
      <c r="X265" s="2"/>
      <c r="Y265" s="2"/>
      <c r="Z265" s="2"/>
      <c r="AA265" s="2"/>
    </row>
    <row r="266" customFormat="false" ht="15.75" hidden="false" customHeight="false" outlineLevel="0" collapsed="false">
      <c r="A266" s="2"/>
      <c r="B266" s="2" t="s">
        <v>89</v>
      </c>
      <c r="C266" s="2" t="s">
        <v>78</v>
      </c>
      <c r="D266" s="2" t="s">
        <v>72</v>
      </c>
      <c r="E266" s="2" t="s">
        <v>93</v>
      </c>
      <c r="F266" s="2" t="s">
        <v>72</v>
      </c>
      <c r="G266" s="2"/>
      <c r="H266" s="2"/>
      <c r="I266" s="2" t="s">
        <v>75</v>
      </c>
      <c r="J266" s="2" t="s">
        <v>81</v>
      </c>
      <c r="K266" s="2" t="s">
        <v>75</v>
      </c>
      <c r="L266" s="2" t="s">
        <v>75</v>
      </c>
      <c r="M266" s="2" t="s">
        <v>66</v>
      </c>
      <c r="N266" s="2"/>
      <c r="O266" s="2"/>
      <c r="P266" s="2"/>
      <c r="Q266" s="2"/>
      <c r="R266" s="2"/>
      <c r="S266" s="2"/>
      <c r="T266" s="2"/>
      <c r="U266" s="2"/>
      <c r="V266" s="2"/>
      <c r="W266" s="2"/>
      <c r="X266" s="2"/>
      <c r="Y266" s="2"/>
      <c r="Z266" s="2"/>
      <c r="AA266" s="2"/>
    </row>
    <row r="267" customFormat="false" ht="15.75" hidden="false" customHeight="false" outlineLevel="0" collapsed="false">
      <c r="A267" s="2"/>
      <c r="B267" s="2" t="s">
        <v>63</v>
      </c>
      <c r="C267" s="2" t="s">
        <v>75</v>
      </c>
      <c r="D267" s="2" t="s">
        <v>96</v>
      </c>
      <c r="E267" s="2" t="s">
        <v>72</v>
      </c>
      <c r="F267" s="2" t="s">
        <v>75</v>
      </c>
      <c r="G267" s="2"/>
      <c r="H267" s="2"/>
      <c r="I267" s="2" t="s">
        <v>75</v>
      </c>
      <c r="J267" s="2" t="s">
        <v>72</v>
      </c>
      <c r="K267" s="2" t="s">
        <v>75</v>
      </c>
      <c r="L267" s="2" t="s">
        <v>75</v>
      </c>
      <c r="M267" s="2" t="s">
        <v>66</v>
      </c>
      <c r="N267" s="2"/>
      <c r="O267" s="2"/>
      <c r="P267" s="2"/>
      <c r="Q267" s="2"/>
      <c r="R267" s="2"/>
      <c r="S267" s="2"/>
      <c r="T267" s="2"/>
      <c r="U267" s="2"/>
      <c r="V267" s="2"/>
      <c r="W267" s="2"/>
      <c r="X267" s="2"/>
      <c r="Y267" s="2"/>
      <c r="Z267" s="2"/>
      <c r="AA267" s="2"/>
    </row>
    <row r="268" customFormat="false" ht="15.75" hidden="false" customHeight="false" outlineLevel="0" collapsed="false">
      <c r="A268" s="2"/>
      <c r="B268" s="2" t="s">
        <v>78</v>
      </c>
      <c r="C268" s="2" t="s">
        <v>66</v>
      </c>
      <c r="D268" s="2" t="s">
        <v>72</v>
      </c>
      <c r="E268" s="2" t="s">
        <v>69</v>
      </c>
      <c r="F268" s="2" t="s">
        <v>63</v>
      </c>
      <c r="G268" s="2"/>
      <c r="H268" s="2"/>
      <c r="I268" s="2" t="s">
        <v>96</v>
      </c>
      <c r="J268" s="2" t="s">
        <v>72</v>
      </c>
      <c r="K268" s="2" t="s">
        <v>75</v>
      </c>
      <c r="L268" s="2" t="s">
        <v>89</v>
      </c>
      <c r="M268" s="2" t="s">
        <v>66</v>
      </c>
      <c r="N268" s="2"/>
      <c r="O268" s="2"/>
      <c r="P268" s="2"/>
      <c r="Q268" s="2"/>
      <c r="R268" s="2"/>
      <c r="S268" s="2"/>
      <c r="T268" s="2"/>
      <c r="U268" s="2"/>
      <c r="V268" s="2"/>
      <c r="W268" s="2"/>
      <c r="X268" s="2"/>
      <c r="Y268" s="2"/>
      <c r="Z268" s="2"/>
      <c r="AA268" s="2"/>
    </row>
    <row r="269" customFormat="false" ht="15.75" hidden="false" customHeight="false" outlineLevel="0" collapsed="false">
      <c r="A269" s="2"/>
      <c r="B269" s="2" t="s">
        <v>96</v>
      </c>
      <c r="C269" s="2" t="s">
        <v>72</v>
      </c>
      <c r="D269" s="2" t="s">
        <v>149</v>
      </c>
      <c r="E269" s="2" t="s">
        <v>81</v>
      </c>
      <c r="F269" s="2" t="s">
        <v>83</v>
      </c>
      <c r="G269" s="2"/>
      <c r="H269" s="2"/>
      <c r="I269" s="2" t="s">
        <v>96</v>
      </c>
      <c r="J269" s="2" t="s">
        <v>72</v>
      </c>
      <c r="K269" s="2" t="s">
        <v>66</v>
      </c>
      <c r="L269" s="2" t="s">
        <v>89</v>
      </c>
      <c r="M269" s="2" t="s">
        <v>75</v>
      </c>
      <c r="N269" s="2"/>
      <c r="O269" s="2"/>
      <c r="P269" s="2"/>
      <c r="Q269" s="2"/>
      <c r="R269" s="2"/>
      <c r="S269" s="2"/>
      <c r="T269" s="2"/>
      <c r="U269" s="2"/>
      <c r="V269" s="2"/>
      <c r="W269" s="2"/>
      <c r="X269" s="2"/>
      <c r="Y269" s="2"/>
      <c r="Z269" s="2"/>
      <c r="AA269" s="2"/>
    </row>
    <row r="270" customFormat="false" ht="15.75" hidden="false" customHeight="false" outlineLevel="0" collapsed="false">
      <c r="A270" s="2"/>
      <c r="B270" s="2" t="s">
        <v>96</v>
      </c>
      <c r="C270" s="2" t="s">
        <v>83</v>
      </c>
      <c r="D270" s="2" t="s">
        <v>78</v>
      </c>
      <c r="E270" s="2" t="s">
        <v>89</v>
      </c>
      <c r="F270" s="2" t="s">
        <v>89</v>
      </c>
      <c r="G270" s="2"/>
      <c r="H270" s="2"/>
      <c r="I270" s="2" t="s">
        <v>96</v>
      </c>
      <c r="J270" s="2" t="s">
        <v>72</v>
      </c>
      <c r="K270" s="2" t="s">
        <v>66</v>
      </c>
      <c r="L270" s="2" t="s">
        <v>89</v>
      </c>
      <c r="M270" s="2" t="s">
        <v>75</v>
      </c>
      <c r="N270" s="2"/>
      <c r="O270" s="2"/>
      <c r="P270" s="2"/>
      <c r="Q270" s="2"/>
      <c r="R270" s="2"/>
      <c r="S270" s="2"/>
      <c r="T270" s="2"/>
      <c r="U270" s="2"/>
      <c r="V270" s="2"/>
      <c r="W270" s="2"/>
      <c r="X270" s="2"/>
      <c r="Y270" s="2"/>
      <c r="Z270" s="2"/>
      <c r="AA270" s="2"/>
    </row>
    <row r="271" customFormat="false" ht="15.75" hidden="false" customHeight="false" outlineLevel="0" collapsed="false">
      <c r="A271" s="2"/>
      <c r="B271" s="2" t="s">
        <v>93</v>
      </c>
      <c r="C271" s="2" t="s">
        <v>66</v>
      </c>
      <c r="D271" s="2" t="s">
        <v>69</v>
      </c>
      <c r="E271" s="2" t="s">
        <v>96</v>
      </c>
      <c r="F271" s="2" t="s">
        <v>66</v>
      </c>
      <c r="G271" s="2"/>
      <c r="H271" s="2"/>
      <c r="I271" s="2" t="s">
        <v>96</v>
      </c>
      <c r="J271" s="2" t="s">
        <v>66</v>
      </c>
      <c r="K271" s="2" t="s">
        <v>66</v>
      </c>
      <c r="L271" s="2" t="s">
        <v>89</v>
      </c>
      <c r="M271" s="2" t="s">
        <v>75</v>
      </c>
      <c r="N271" s="2"/>
      <c r="O271" s="2"/>
      <c r="P271" s="2"/>
      <c r="Q271" s="2"/>
      <c r="R271" s="2"/>
      <c r="S271" s="2"/>
      <c r="T271" s="2"/>
      <c r="U271" s="2"/>
      <c r="V271" s="2"/>
      <c r="W271" s="2"/>
      <c r="X271" s="2"/>
      <c r="Y271" s="2"/>
      <c r="Z271" s="2"/>
      <c r="AA271" s="2"/>
    </row>
    <row r="272" customFormat="false" ht="15.75" hidden="false" customHeight="false" outlineLevel="0" collapsed="false">
      <c r="A272" s="2"/>
      <c r="B272" s="2" t="s">
        <v>66</v>
      </c>
      <c r="C272" s="2" t="s">
        <v>83</v>
      </c>
      <c r="D272" s="2" t="s">
        <v>69</v>
      </c>
      <c r="E272" s="2" t="s">
        <v>81</v>
      </c>
      <c r="F272" s="2" t="s">
        <v>96</v>
      </c>
      <c r="G272" s="2"/>
      <c r="H272" s="2"/>
      <c r="I272" s="2" t="s">
        <v>69</v>
      </c>
      <c r="J272" s="2" t="s">
        <v>66</v>
      </c>
      <c r="K272" s="2" t="s">
        <v>66</v>
      </c>
      <c r="L272" s="2" t="s">
        <v>89</v>
      </c>
      <c r="M272" s="2" t="s">
        <v>75</v>
      </c>
      <c r="N272" s="2"/>
      <c r="O272" s="2"/>
      <c r="P272" s="2"/>
      <c r="Q272" s="2"/>
      <c r="R272" s="2"/>
      <c r="S272" s="2"/>
      <c r="T272" s="2"/>
      <c r="U272" s="2"/>
      <c r="V272" s="2"/>
      <c r="W272" s="2"/>
      <c r="X272" s="2"/>
      <c r="Y272" s="2"/>
      <c r="Z272" s="2"/>
      <c r="AA272" s="2"/>
    </row>
    <row r="273" customFormat="false" ht="15.75" hidden="false" customHeight="false" outlineLevel="0" collapsed="false">
      <c r="A273" s="2"/>
      <c r="B273" s="2" t="s">
        <v>93</v>
      </c>
      <c r="C273" s="2" t="s">
        <v>96</v>
      </c>
      <c r="D273" s="2" t="s">
        <v>72</v>
      </c>
      <c r="E273" s="2" t="s">
        <v>78</v>
      </c>
      <c r="F273" s="2" t="s">
        <v>83</v>
      </c>
      <c r="G273" s="2"/>
      <c r="H273" s="2"/>
      <c r="I273" s="2" t="s">
        <v>69</v>
      </c>
      <c r="J273" s="2" t="s">
        <v>149</v>
      </c>
      <c r="K273" s="2" t="s">
        <v>93</v>
      </c>
      <c r="L273" s="2" t="s">
        <v>89</v>
      </c>
      <c r="M273" s="2" t="s">
        <v>89</v>
      </c>
      <c r="N273" s="2"/>
      <c r="O273" s="2"/>
      <c r="P273" s="2"/>
      <c r="Q273" s="2"/>
      <c r="R273" s="2"/>
      <c r="S273" s="2"/>
      <c r="T273" s="2"/>
      <c r="U273" s="2"/>
      <c r="V273" s="2"/>
      <c r="W273" s="2"/>
      <c r="X273" s="2"/>
      <c r="Y273" s="2"/>
      <c r="Z273" s="2"/>
      <c r="AA273" s="2"/>
    </row>
    <row r="274" customFormat="false" ht="15.75" hidden="false" customHeight="false" outlineLevel="0" collapsed="false">
      <c r="A274" s="2"/>
      <c r="B274" s="2" t="s">
        <v>96</v>
      </c>
      <c r="C274" s="2" t="s">
        <v>63</v>
      </c>
      <c r="D274" s="2" t="s">
        <v>75</v>
      </c>
      <c r="E274" s="2" t="s">
        <v>81</v>
      </c>
      <c r="F274" s="2" t="s">
        <v>93</v>
      </c>
      <c r="G274" s="2"/>
      <c r="H274" s="2"/>
      <c r="I274" s="2" t="s">
        <v>96</v>
      </c>
      <c r="J274" s="2" t="s">
        <v>66</v>
      </c>
      <c r="K274" s="2" t="s">
        <v>93</v>
      </c>
      <c r="L274" s="2" t="s">
        <v>89</v>
      </c>
      <c r="M274" s="2" t="s">
        <v>89</v>
      </c>
      <c r="N274" s="2"/>
      <c r="O274" s="2"/>
      <c r="P274" s="2"/>
      <c r="Q274" s="2"/>
      <c r="R274" s="2"/>
      <c r="S274" s="2"/>
      <c r="T274" s="2"/>
      <c r="U274" s="2"/>
      <c r="V274" s="2"/>
      <c r="W274" s="2"/>
      <c r="X274" s="2"/>
      <c r="Y274" s="2"/>
      <c r="Z274" s="2"/>
      <c r="AA274" s="2"/>
    </row>
    <row r="275" customFormat="false" ht="15.75" hidden="false" customHeight="false" outlineLevel="0" collapsed="false">
      <c r="A275" s="2"/>
      <c r="B275" s="2" t="s">
        <v>96</v>
      </c>
      <c r="C275" s="2" t="s">
        <v>66</v>
      </c>
      <c r="D275" s="2" t="s">
        <v>81</v>
      </c>
      <c r="E275" s="2" t="s">
        <v>83</v>
      </c>
      <c r="F275" s="2" t="s">
        <v>78</v>
      </c>
      <c r="G275" s="2"/>
      <c r="H275" s="2"/>
      <c r="I275" s="2" t="s">
        <v>96</v>
      </c>
      <c r="J275" s="2" t="s">
        <v>66</v>
      </c>
      <c r="K275" s="2" t="s">
        <v>93</v>
      </c>
      <c r="L275" s="2" t="s">
        <v>89</v>
      </c>
      <c r="M275" s="2" t="s">
        <v>89</v>
      </c>
      <c r="N275" s="2"/>
      <c r="O275" s="2"/>
      <c r="P275" s="2"/>
      <c r="Q275" s="2"/>
      <c r="R275" s="2"/>
      <c r="S275" s="2"/>
      <c r="T275" s="2"/>
      <c r="U275" s="2"/>
      <c r="V275" s="2"/>
      <c r="W275" s="2"/>
      <c r="X275" s="2"/>
      <c r="Y275" s="2"/>
      <c r="Z275" s="2"/>
      <c r="AA275" s="2"/>
    </row>
    <row r="276" customFormat="false" ht="15.75" hidden="false" customHeight="false" outlineLevel="0" collapsed="false">
      <c r="A276" s="2"/>
      <c r="B276" s="2" t="s">
        <v>89</v>
      </c>
      <c r="C276" s="2" t="s">
        <v>69</v>
      </c>
      <c r="D276" s="2" t="s">
        <v>75</v>
      </c>
      <c r="E276" s="2" t="s">
        <v>83</v>
      </c>
      <c r="F276" s="2" t="s">
        <v>72</v>
      </c>
      <c r="G276" s="2"/>
      <c r="H276" s="2"/>
      <c r="I276" s="2" t="s">
        <v>96</v>
      </c>
      <c r="J276" s="2" t="s">
        <v>89</v>
      </c>
      <c r="K276" s="2" t="s">
        <v>93</v>
      </c>
      <c r="L276" s="2" t="s">
        <v>83</v>
      </c>
      <c r="M276" s="2" t="s">
        <v>89</v>
      </c>
      <c r="N276" s="2"/>
      <c r="O276" s="2"/>
      <c r="P276" s="2"/>
      <c r="Q276" s="2"/>
      <c r="R276" s="2"/>
      <c r="S276" s="2"/>
      <c r="T276" s="2"/>
      <c r="U276" s="2"/>
      <c r="V276" s="2"/>
      <c r="W276" s="2"/>
      <c r="X276" s="2"/>
      <c r="Y276" s="2"/>
      <c r="Z276" s="2"/>
      <c r="AA276" s="2"/>
    </row>
    <row r="277" customFormat="false" ht="15.75" hidden="false" customHeight="false" outlineLevel="0" collapsed="false">
      <c r="A277" s="2"/>
      <c r="B277" s="2" t="s">
        <v>96</v>
      </c>
      <c r="C277" s="2" t="s">
        <v>96</v>
      </c>
      <c r="D277" s="2" t="s">
        <v>72</v>
      </c>
      <c r="E277" s="2" t="s">
        <v>63</v>
      </c>
      <c r="F277" s="2" t="s">
        <v>89</v>
      </c>
      <c r="G277" s="2"/>
      <c r="H277" s="2"/>
      <c r="I277" s="2" t="s">
        <v>96</v>
      </c>
      <c r="J277" s="2" t="s">
        <v>149</v>
      </c>
      <c r="K277" s="2" t="s">
        <v>78</v>
      </c>
      <c r="L277" s="2" t="s">
        <v>83</v>
      </c>
      <c r="M277" s="2" t="s">
        <v>75</v>
      </c>
      <c r="N277" s="2"/>
      <c r="O277" s="2"/>
      <c r="P277" s="2"/>
      <c r="Q277" s="2"/>
      <c r="R277" s="2"/>
      <c r="S277" s="2"/>
      <c r="T277" s="2"/>
      <c r="U277" s="2"/>
      <c r="V277" s="2"/>
      <c r="W277" s="2"/>
      <c r="X277" s="2"/>
      <c r="Y277" s="2"/>
      <c r="Z277" s="2"/>
      <c r="AA277" s="2"/>
    </row>
    <row r="278" customFormat="false" ht="15.75" hidden="false" customHeight="false" outlineLevel="0" collapsed="false">
      <c r="A278" s="2"/>
      <c r="B278" s="2" t="s">
        <v>83</v>
      </c>
      <c r="C278" s="2" t="s">
        <v>69</v>
      </c>
      <c r="D278" s="2" t="s">
        <v>72</v>
      </c>
      <c r="E278" s="2" t="s">
        <v>78</v>
      </c>
      <c r="F278" s="2" t="s">
        <v>78</v>
      </c>
      <c r="G278" s="2"/>
      <c r="H278" s="2"/>
      <c r="I278" s="2" t="s">
        <v>72</v>
      </c>
      <c r="J278" s="2" t="s">
        <v>89</v>
      </c>
      <c r="K278" s="2" t="s">
        <v>78</v>
      </c>
      <c r="L278" s="2" t="s">
        <v>149</v>
      </c>
      <c r="M278" s="2" t="s">
        <v>75</v>
      </c>
      <c r="N278" s="2"/>
      <c r="O278" s="2"/>
      <c r="P278" s="2"/>
      <c r="Q278" s="2"/>
      <c r="R278" s="2"/>
      <c r="S278" s="2"/>
      <c r="T278" s="2"/>
      <c r="U278" s="2"/>
      <c r="V278" s="2"/>
      <c r="W278" s="2"/>
      <c r="X278" s="2"/>
      <c r="Y278" s="2"/>
      <c r="Z278" s="2"/>
      <c r="AA278" s="2"/>
    </row>
    <row r="279" customFormat="false" ht="15.75" hidden="false" customHeight="false" outlineLevel="0" collapsed="false">
      <c r="A279" s="2"/>
      <c r="B279" s="2" t="s">
        <v>96</v>
      </c>
      <c r="C279" s="2" t="s">
        <v>96</v>
      </c>
      <c r="D279" s="2" t="s">
        <v>81</v>
      </c>
      <c r="E279" s="2" t="s">
        <v>63</v>
      </c>
      <c r="F279" s="2" t="s">
        <v>72</v>
      </c>
      <c r="G279" s="2"/>
      <c r="H279" s="2"/>
      <c r="I279" s="2" t="s">
        <v>72</v>
      </c>
      <c r="J279" s="2" t="s">
        <v>89</v>
      </c>
      <c r="K279" s="2" t="s">
        <v>78</v>
      </c>
      <c r="L279" s="2" t="s">
        <v>83</v>
      </c>
      <c r="M279" s="2" t="s">
        <v>75</v>
      </c>
      <c r="N279" s="2"/>
      <c r="O279" s="2"/>
      <c r="P279" s="2"/>
      <c r="Q279" s="2"/>
      <c r="R279" s="2"/>
      <c r="S279" s="2"/>
      <c r="T279" s="2"/>
      <c r="U279" s="2"/>
      <c r="V279" s="2"/>
      <c r="W279" s="2"/>
      <c r="X279" s="2"/>
      <c r="Y279" s="2"/>
      <c r="Z279" s="2"/>
      <c r="AA279" s="2"/>
    </row>
    <row r="280" customFormat="false" ht="15.75" hidden="false" customHeight="false" outlineLevel="0" collapsed="false">
      <c r="A280" s="2"/>
      <c r="B280" s="2" t="s">
        <v>147</v>
      </c>
      <c r="C280" s="2" t="s">
        <v>63</v>
      </c>
      <c r="D280" s="2" t="s">
        <v>89</v>
      </c>
      <c r="E280" s="2" t="s">
        <v>93</v>
      </c>
      <c r="F280" s="2" t="s">
        <v>93</v>
      </c>
      <c r="G280" s="2"/>
      <c r="H280" s="2"/>
      <c r="I280" s="2" t="s">
        <v>72</v>
      </c>
      <c r="J280" s="2" t="s">
        <v>89</v>
      </c>
      <c r="K280" s="2" t="s">
        <v>78</v>
      </c>
      <c r="L280" s="2" t="s">
        <v>83</v>
      </c>
      <c r="M280" s="2" t="s">
        <v>75</v>
      </c>
      <c r="N280" s="2"/>
      <c r="O280" s="2"/>
      <c r="P280" s="2"/>
      <c r="Q280" s="2"/>
      <c r="R280" s="2"/>
      <c r="S280" s="2"/>
      <c r="T280" s="2"/>
      <c r="U280" s="2"/>
      <c r="V280" s="2"/>
      <c r="W280" s="2"/>
      <c r="X280" s="2"/>
      <c r="Y280" s="2"/>
      <c r="Z280" s="2"/>
      <c r="AA280" s="2"/>
    </row>
    <row r="281" customFormat="false" ht="15.75" hidden="false" customHeight="false" outlineLevel="0" collapsed="false">
      <c r="A281" s="2"/>
      <c r="B281" s="2" t="s">
        <v>96</v>
      </c>
      <c r="C281" s="2" t="s">
        <v>66</v>
      </c>
      <c r="D281" s="2" t="s">
        <v>89</v>
      </c>
      <c r="E281" s="2" t="s">
        <v>89</v>
      </c>
      <c r="F281" s="2" t="s">
        <v>83</v>
      </c>
      <c r="G281" s="2"/>
      <c r="H281" s="2"/>
      <c r="I281" s="2" t="s">
        <v>72</v>
      </c>
      <c r="J281" s="2" t="s">
        <v>89</v>
      </c>
      <c r="K281" s="2" t="s">
        <v>83</v>
      </c>
      <c r="L281" s="2" t="s">
        <v>72</v>
      </c>
      <c r="M281" s="2" t="s">
        <v>93</v>
      </c>
      <c r="N281" s="2"/>
      <c r="O281" s="2"/>
      <c r="P281" s="2"/>
      <c r="Q281" s="2"/>
      <c r="R281" s="2"/>
      <c r="S281" s="2"/>
      <c r="T281" s="2"/>
      <c r="U281" s="2"/>
      <c r="V281" s="2"/>
      <c r="W281" s="2"/>
      <c r="X281" s="2"/>
      <c r="Y281" s="2"/>
      <c r="Z281" s="2"/>
      <c r="AA281" s="2"/>
    </row>
    <row r="282" customFormat="false" ht="15.75" hidden="false" customHeight="false" outlineLevel="0" collapsed="false">
      <c r="A282" s="2"/>
      <c r="B282" s="2" t="s">
        <v>93</v>
      </c>
      <c r="C282" s="2" t="s">
        <v>89</v>
      </c>
      <c r="D282" s="2" t="s">
        <v>83</v>
      </c>
      <c r="E282" s="2" t="s">
        <v>149</v>
      </c>
      <c r="F282" s="2" t="s">
        <v>93</v>
      </c>
      <c r="G282" s="2"/>
      <c r="H282" s="2"/>
      <c r="I282" s="2" t="s">
        <v>93</v>
      </c>
      <c r="J282" s="2" t="s">
        <v>89</v>
      </c>
      <c r="K282" s="2" t="s">
        <v>83</v>
      </c>
      <c r="L282" s="2" t="s">
        <v>72</v>
      </c>
      <c r="M282" s="2" t="s">
        <v>93</v>
      </c>
      <c r="N282" s="2"/>
      <c r="O282" s="2"/>
      <c r="P282" s="2"/>
      <c r="Q282" s="2"/>
      <c r="R282" s="2"/>
      <c r="S282" s="2"/>
      <c r="T282" s="2"/>
      <c r="U282" s="2"/>
      <c r="V282" s="2"/>
      <c r="W282" s="2"/>
      <c r="X282" s="2"/>
      <c r="Y282" s="2"/>
      <c r="Z282" s="2"/>
      <c r="AA282" s="2"/>
    </row>
    <row r="283" customFormat="false" ht="15.75" hidden="false" customHeight="false" outlineLevel="0" collapsed="false">
      <c r="A283" s="2"/>
      <c r="B283" s="2" t="s">
        <v>89</v>
      </c>
      <c r="C283" s="2" t="s">
        <v>96</v>
      </c>
      <c r="D283" s="2" t="s">
        <v>81</v>
      </c>
      <c r="E283" s="2" t="s">
        <v>63</v>
      </c>
      <c r="F283" s="2" t="s">
        <v>89</v>
      </c>
      <c r="G283" s="2"/>
      <c r="H283" s="2"/>
      <c r="I283" s="2" t="s">
        <v>93</v>
      </c>
      <c r="J283" s="2" t="s">
        <v>89</v>
      </c>
      <c r="K283" s="2" t="s">
        <v>83</v>
      </c>
      <c r="L283" s="2" t="s">
        <v>72</v>
      </c>
      <c r="M283" s="2" t="s">
        <v>93</v>
      </c>
      <c r="N283" s="2"/>
      <c r="O283" s="2"/>
      <c r="P283" s="2"/>
      <c r="Q283" s="2"/>
      <c r="R283" s="2"/>
      <c r="S283" s="2"/>
      <c r="T283" s="2"/>
      <c r="U283" s="2"/>
      <c r="V283" s="2"/>
      <c r="W283" s="2"/>
      <c r="X283" s="2"/>
      <c r="Y283" s="2"/>
      <c r="Z283" s="2"/>
      <c r="AA283" s="2"/>
    </row>
    <row r="284" customFormat="false" ht="15.75" hidden="false" customHeight="false" outlineLevel="0" collapsed="false">
      <c r="A284" s="2"/>
      <c r="B284" s="2" t="s">
        <v>83</v>
      </c>
      <c r="C284" s="2" t="s">
        <v>66</v>
      </c>
      <c r="D284" s="2" t="s">
        <v>83</v>
      </c>
      <c r="E284" s="2" t="s">
        <v>78</v>
      </c>
      <c r="F284" s="2" t="s">
        <v>75</v>
      </c>
      <c r="G284" s="2"/>
      <c r="H284" s="2"/>
      <c r="I284" s="2" t="s">
        <v>66</v>
      </c>
      <c r="J284" s="2" t="s">
        <v>89</v>
      </c>
      <c r="K284" s="2" t="s">
        <v>83</v>
      </c>
      <c r="L284" s="2" t="s">
        <v>72</v>
      </c>
      <c r="M284" s="2" t="s">
        <v>93</v>
      </c>
      <c r="N284" s="2"/>
      <c r="O284" s="2"/>
      <c r="P284" s="2"/>
      <c r="Q284" s="2"/>
      <c r="R284" s="2"/>
      <c r="S284" s="2"/>
      <c r="T284" s="2"/>
      <c r="U284" s="2"/>
      <c r="V284" s="2"/>
      <c r="W284" s="2"/>
      <c r="X284" s="2"/>
      <c r="Y284" s="2"/>
      <c r="Z284" s="2"/>
      <c r="AA284" s="2"/>
    </row>
    <row r="285" customFormat="false" ht="15.75" hidden="false" customHeight="false" outlineLevel="0" collapsed="false">
      <c r="A285" s="2"/>
      <c r="B285" s="2" t="s">
        <v>96</v>
      </c>
      <c r="C285" s="2" t="s">
        <v>83</v>
      </c>
      <c r="D285" s="2" t="s">
        <v>75</v>
      </c>
      <c r="E285" s="2" t="s">
        <v>89</v>
      </c>
      <c r="F285" s="2" t="s">
        <v>89</v>
      </c>
      <c r="G285" s="2"/>
      <c r="H285" s="2"/>
      <c r="I285" s="2" t="s">
        <v>66</v>
      </c>
      <c r="J285" s="2" t="s">
        <v>75</v>
      </c>
      <c r="K285" s="2" t="s">
        <v>89</v>
      </c>
      <c r="L285" s="2" t="s">
        <v>75</v>
      </c>
      <c r="M285" s="2" t="s">
        <v>75</v>
      </c>
      <c r="N285" s="2"/>
      <c r="O285" s="2"/>
      <c r="P285" s="2"/>
      <c r="Q285" s="2"/>
      <c r="R285" s="2"/>
      <c r="S285" s="2"/>
      <c r="T285" s="2"/>
      <c r="U285" s="2"/>
      <c r="V285" s="2"/>
      <c r="W285" s="2"/>
      <c r="X285" s="2"/>
      <c r="Y285" s="2"/>
      <c r="Z285" s="2"/>
      <c r="AA285" s="2"/>
    </row>
    <row r="286" customFormat="false" ht="15.75" hidden="false" customHeight="false" outlineLevel="0" collapsed="false">
      <c r="A286" s="2"/>
      <c r="B286" s="2" t="s">
        <v>93</v>
      </c>
      <c r="C286" s="2" t="s">
        <v>89</v>
      </c>
      <c r="D286" s="2" t="s">
        <v>69</v>
      </c>
      <c r="E286" s="2" t="s">
        <v>75</v>
      </c>
      <c r="F286" s="2" t="s">
        <v>78</v>
      </c>
      <c r="G286" s="2"/>
      <c r="H286" s="2"/>
      <c r="I286" s="2" t="s">
        <v>66</v>
      </c>
      <c r="J286" s="2" t="s">
        <v>75</v>
      </c>
      <c r="K286" s="2" t="s">
        <v>89</v>
      </c>
      <c r="L286" s="2" t="s">
        <v>75</v>
      </c>
      <c r="M286" s="2" t="s">
        <v>75</v>
      </c>
      <c r="N286" s="2"/>
      <c r="O286" s="2"/>
      <c r="P286" s="2"/>
      <c r="Q286" s="2"/>
      <c r="R286" s="2"/>
      <c r="S286" s="2"/>
      <c r="T286" s="2"/>
      <c r="U286" s="2"/>
      <c r="V286" s="2"/>
      <c r="W286" s="2"/>
      <c r="X286" s="2"/>
      <c r="Y286" s="2"/>
      <c r="Z286" s="2"/>
      <c r="AA286" s="2"/>
    </row>
    <row r="287" customFormat="false" ht="15.75" hidden="false" customHeight="false" outlineLevel="0" collapsed="false">
      <c r="A287" s="2"/>
      <c r="B287" s="2" t="s">
        <v>81</v>
      </c>
      <c r="C287" s="2" t="s">
        <v>72</v>
      </c>
      <c r="D287" s="2" t="s">
        <v>63</v>
      </c>
      <c r="E287" s="2" t="s">
        <v>78</v>
      </c>
      <c r="F287" s="2" t="s">
        <v>69</v>
      </c>
      <c r="G287" s="2"/>
      <c r="H287" s="2"/>
      <c r="I287" s="2" t="s">
        <v>66</v>
      </c>
      <c r="J287" s="2" t="s">
        <v>75</v>
      </c>
      <c r="K287" s="2" t="s">
        <v>89</v>
      </c>
      <c r="L287" s="2" t="s">
        <v>75</v>
      </c>
      <c r="M287" s="2" t="s">
        <v>75</v>
      </c>
      <c r="N287" s="2"/>
      <c r="O287" s="2"/>
      <c r="P287" s="2"/>
      <c r="Q287" s="2"/>
      <c r="R287" s="2"/>
      <c r="S287" s="2"/>
      <c r="T287" s="2"/>
      <c r="U287" s="2"/>
      <c r="V287" s="2"/>
      <c r="W287" s="2"/>
      <c r="X287" s="2"/>
      <c r="Y287" s="2"/>
      <c r="Z287" s="2"/>
      <c r="AA287" s="2"/>
    </row>
    <row r="288" customFormat="false" ht="15.75" hidden="false" customHeight="false" outlineLevel="0" collapsed="false">
      <c r="A288" s="2"/>
      <c r="B288" s="2" t="s">
        <v>78</v>
      </c>
      <c r="C288" s="2" t="s">
        <v>75</v>
      </c>
      <c r="D288" s="2" t="s">
        <v>93</v>
      </c>
      <c r="E288" s="2" t="s">
        <v>93</v>
      </c>
      <c r="F288" s="2" t="s">
        <v>96</v>
      </c>
      <c r="G288" s="2"/>
      <c r="H288" s="2"/>
      <c r="I288" s="2" t="s">
        <v>69</v>
      </c>
      <c r="J288" s="2" t="s">
        <v>75</v>
      </c>
      <c r="K288" s="2" t="s">
        <v>89</v>
      </c>
      <c r="L288" s="2" t="s">
        <v>75</v>
      </c>
      <c r="M288" s="2" t="s">
        <v>75</v>
      </c>
      <c r="N288" s="2"/>
      <c r="O288" s="2"/>
      <c r="P288" s="2"/>
      <c r="Q288" s="2"/>
      <c r="R288" s="2"/>
      <c r="S288" s="2"/>
      <c r="T288" s="2"/>
      <c r="U288" s="2"/>
      <c r="V288" s="2"/>
      <c r="W288" s="2"/>
      <c r="X288" s="2"/>
      <c r="Y288" s="2"/>
      <c r="Z288" s="2"/>
      <c r="AA288" s="2"/>
    </row>
    <row r="289" customFormat="false" ht="15.75" hidden="false" customHeight="false" outlineLevel="0" collapsed="false">
      <c r="A289" s="2"/>
      <c r="B289" s="2" t="s">
        <v>81</v>
      </c>
      <c r="C289" s="2" t="s">
        <v>75</v>
      </c>
      <c r="D289" s="2" t="s">
        <v>83</v>
      </c>
      <c r="E289" s="2" t="s">
        <v>83</v>
      </c>
      <c r="F289" s="2" t="s">
        <v>89</v>
      </c>
      <c r="G289" s="2"/>
      <c r="H289" s="2"/>
      <c r="I289" s="2" t="s">
        <v>69</v>
      </c>
      <c r="J289" s="2" t="s">
        <v>69</v>
      </c>
      <c r="K289" s="2" t="s">
        <v>69</v>
      </c>
      <c r="L289" s="2" t="s">
        <v>63</v>
      </c>
      <c r="M289" s="2" t="s">
        <v>66</v>
      </c>
      <c r="N289" s="2"/>
      <c r="O289" s="2"/>
      <c r="P289" s="2"/>
      <c r="Q289" s="2"/>
      <c r="R289" s="2"/>
      <c r="S289" s="2"/>
      <c r="T289" s="2"/>
      <c r="U289" s="2"/>
      <c r="V289" s="2"/>
      <c r="W289" s="2"/>
      <c r="X289" s="2"/>
      <c r="Y289" s="2"/>
      <c r="Z289" s="2"/>
      <c r="AA289" s="2"/>
    </row>
    <row r="290" customFormat="false" ht="15.75" hidden="false" customHeight="false" outlineLevel="0" collapsed="false">
      <c r="A290" s="2"/>
      <c r="B290" s="2" t="s">
        <v>81</v>
      </c>
      <c r="C290" s="2" t="s">
        <v>149</v>
      </c>
      <c r="D290" s="2" t="s">
        <v>89</v>
      </c>
      <c r="E290" s="2" t="s">
        <v>72</v>
      </c>
      <c r="F290" s="2" t="s">
        <v>93</v>
      </c>
      <c r="G290" s="2"/>
      <c r="H290" s="2"/>
      <c r="I290" s="2" t="s">
        <v>69</v>
      </c>
      <c r="J290" s="2" t="s">
        <v>69</v>
      </c>
      <c r="K290" s="2" t="s">
        <v>69</v>
      </c>
      <c r="L290" s="2" t="s">
        <v>63</v>
      </c>
      <c r="M290" s="2" t="s">
        <v>66</v>
      </c>
      <c r="N290" s="2"/>
      <c r="O290" s="2"/>
      <c r="P290" s="2"/>
      <c r="Q290" s="2"/>
      <c r="R290" s="2"/>
      <c r="S290" s="2"/>
      <c r="T290" s="2"/>
      <c r="U290" s="2"/>
      <c r="V290" s="2"/>
      <c r="W290" s="2"/>
      <c r="X290" s="2"/>
      <c r="Y290" s="2"/>
      <c r="Z290" s="2"/>
      <c r="AA290" s="2"/>
    </row>
    <row r="291" customFormat="false" ht="15.75" hidden="false" customHeight="false" outlineLevel="0" collapsed="false">
      <c r="A291" s="2"/>
      <c r="B291" s="2" t="s">
        <v>83</v>
      </c>
      <c r="C291" s="2" t="s">
        <v>93</v>
      </c>
      <c r="D291" s="2" t="s">
        <v>89</v>
      </c>
      <c r="E291" s="2" t="s">
        <v>83</v>
      </c>
      <c r="F291" s="2" t="s">
        <v>93</v>
      </c>
      <c r="G291" s="2"/>
      <c r="H291" s="2"/>
      <c r="I291" s="2" t="s">
        <v>69</v>
      </c>
      <c r="J291" s="2" t="s">
        <v>69</v>
      </c>
      <c r="K291" s="2" t="s">
        <v>69</v>
      </c>
      <c r="L291" s="2" t="s">
        <v>63</v>
      </c>
      <c r="M291" s="2" t="s">
        <v>66</v>
      </c>
      <c r="N291" s="2"/>
      <c r="O291" s="2"/>
      <c r="P291" s="2"/>
      <c r="Q291" s="2"/>
      <c r="R291" s="2"/>
      <c r="S291" s="2"/>
      <c r="T291" s="2"/>
      <c r="U291" s="2"/>
      <c r="V291" s="2"/>
      <c r="W291" s="2"/>
      <c r="X291" s="2"/>
      <c r="Y291" s="2"/>
      <c r="Z291" s="2"/>
      <c r="AA291" s="2"/>
    </row>
    <row r="292" customFormat="false" ht="15.75" hidden="false" customHeight="false" outlineLevel="0" collapsed="false">
      <c r="A292" s="2"/>
      <c r="B292" s="2" t="s">
        <v>75</v>
      </c>
      <c r="C292" s="2" t="s">
        <v>78</v>
      </c>
      <c r="D292" s="2" t="s">
        <v>81</v>
      </c>
      <c r="E292" s="2" t="s">
        <v>69</v>
      </c>
      <c r="F292" s="2" t="s">
        <v>83</v>
      </c>
      <c r="G292" s="2"/>
      <c r="H292" s="2"/>
      <c r="I292" s="2" t="s">
        <v>66</v>
      </c>
      <c r="J292" s="2" t="s">
        <v>149</v>
      </c>
      <c r="K292" s="2" t="s">
        <v>69</v>
      </c>
      <c r="L292" s="2" t="s">
        <v>63</v>
      </c>
      <c r="M292" s="2" t="s">
        <v>66</v>
      </c>
      <c r="N292" s="2"/>
      <c r="O292" s="2"/>
      <c r="P292" s="2"/>
      <c r="Q292" s="2"/>
      <c r="R292" s="2"/>
      <c r="S292" s="2"/>
      <c r="T292" s="2"/>
      <c r="U292" s="2"/>
      <c r="V292" s="2"/>
      <c r="W292" s="2"/>
      <c r="X292" s="2"/>
      <c r="Y292" s="2"/>
      <c r="Z292" s="2"/>
      <c r="AA292" s="2"/>
    </row>
    <row r="293" customFormat="false" ht="15.75" hidden="false" customHeight="false" outlineLevel="0" collapsed="false">
      <c r="A293" s="2"/>
      <c r="B293" s="2" t="s">
        <v>93</v>
      </c>
      <c r="C293" s="2" t="s">
        <v>72</v>
      </c>
      <c r="D293" s="2" t="s">
        <v>93</v>
      </c>
      <c r="E293" s="2" t="s">
        <v>96</v>
      </c>
      <c r="F293" s="2" t="s">
        <v>78</v>
      </c>
      <c r="G293" s="2"/>
      <c r="H293" s="2"/>
      <c r="I293" s="2" t="s">
        <v>66</v>
      </c>
      <c r="J293" s="2" t="s">
        <v>69</v>
      </c>
      <c r="K293" s="2" t="s">
        <v>63</v>
      </c>
      <c r="L293" s="2" t="s">
        <v>72</v>
      </c>
      <c r="M293" s="2" t="s">
        <v>96</v>
      </c>
      <c r="N293" s="2"/>
      <c r="O293" s="2"/>
      <c r="P293" s="2"/>
      <c r="Q293" s="2"/>
      <c r="R293" s="2"/>
      <c r="S293" s="2"/>
      <c r="T293" s="2"/>
      <c r="U293" s="2"/>
      <c r="V293" s="2"/>
      <c r="W293" s="2"/>
      <c r="X293" s="2"/>
      <c r="Y293" s="2"/>
      <c r="Z293" s="2"/>
      <c r="AA293" s="2"/>
    </row>
    <row r="294" customFormat="false" ht="15.75" hidden="false" customHeight="false" outlineLevel="0" collapsed="false">
      <c r="A294" s="2"/>
      <c r="B294" s="2" t="s">
        <v>89</v>
      </c>
      <c r="C294" s="2" t="s">
        <v>81</v>
      </c>
      <c r="D294" s="2" t="s">
        <v>78</v>
      </c>
      <c r="E294" s="2" t="s">
        <v>78</v>
      </c>
      <c r="F294" s="2" t="s">
        <v>66</v>
      </c>
      <c r="G294" s="2"/>
      <c r="H294" s="2"/>
      <c r="I294" s="2" t="s">
        <v>66</v>
      </c>
      <c r="J294" s="2" t="s">
        <v>83</v>
      </c>
      <c r="K294" s="2" t="s">
        <v>63</v>
      </c>
      <c r="L294" s="2" t="s">
        <v>72</v>
      </c>
      <c r="M294" s="2" t="s">
        <v>96</v>
      </c>
      <c r="N294" s="2"/>
      <c r="O294" s="2"/>
      <c r="P294" s="2"/>
      <c r="Q294" s="2"/>
      <c r="R294" s="2"/>
      <c r="S294" s="2"/>
      <c r="T294" s="2"/>
      <c r="U294" s="2"/>
      <c r="V294" s="2"/>
      <c r="W294" s="2"/>
      <c r="X294" s="2"/>
      <c r="Y294" s="2"/>
      <c r="Z294" s="2"/>
      <c r="AA294" s="2"/>
    </row>
    <row r="295" customFormat="false" ht="15.75" hidden="false" customHeight="false" outlineLevel="0" collapsed="false">
      <c r="A295" s="2"/>
      <c r="B295" s="2" t="s">
        <v>78</v>
      </c>
      <c r="C295" s="2" t="s">
        <v>78</v>
      </c>
      <c r="D295" s="2" t="s">
        <v>81</v>
      </c>
      <c r="E295" s="2" t="s">
        <v>89</v>
      </c>
      <c r="F295" s="2" t="s">
        <v>83</v>
      </c>
      <c r="G295" s="2"/>
      <c r="H295" s="2"/>
      <c r="I295" s="2" t="s">
        <v>66</v>
      </c>
      <c r="J295" s="2" t="s">
        <v>83</v>
      </c>
      <c r="K295" s="2" t="s">
        <v>63</v>
      </c>
      <c r="L295" s="2" t="s">
        <v>72</v>
      </c>
      <c r="M295" s="2" t="s">
        <v>96</v>
      </c>
      <c r="N295" s="2"/>
      <c r="O295" s="2"/>
      <c r="P295" s="2"/>
      <c r="Q295" s="2"/>
      <c r="R295" s="2"/>
      <c r="S295" s="2"/>
      <c r="T295" s="2"/>
      <c r="U295" s="2"/>
      <c r="V295" s="2"/>
      <c r="W295" s="2"/>
      <c r="X295" s="2"/>
      <c r="Y295" s="2"/>
      <c r="Z295" s="2"/>
      <c r="AA295" s="2"/>
    </row>
    <row r="296" customFormat="false" ht="15.75" hidden="false" customHeight="false" outlineLevel="0" collapsed="false">
      <c r="A296" s="2"/>
      <c r="B296" s="2" t="s">
        <v>69</v>
      </c>
      <c r="C296" s="2" t="s">
        <v>89</v>
      </c>
      <c r="D296" s="2" t="s">
        <v>93</v>
      </c>
      <c r="E296" s="2" t="s">
        <v>63</v>
      </c>
      <c r="F296" s="2" t="s">
        <v>63</v>
      </c>
      <c r="G296" s="2"/>
      <c r="H296" s="2"/>
      <c r="I296" s="2" t="s">
        <v>83</v>
      </c>
      <c r="J296" s="2" t="s">
        <v>83</v>
      </c>
      <c r="K296" s="2" t="s">
        <v>63</v>
      </c>
      <c r="L296" s="2" t="s">
        <v>72</v>
      </c>
      <c r="M296" s="2" t="s">
        <v>83</v>
      </c>
      <c r="N296" s="2"/>
      <c r="O296" s="2"/>
      <c r="P296" s="2"/>
      <c r="Q296" s="2"/>
      <c r="R296" s="2"/>
      <c r="S296" s="2"/>
      <c r="T296" s="2"/>
      <c r="U296" s="2"/>
      <c r="V296" s="2"/>
      <c r="W296" s="2"/>
      <c r="X296" s="2"/>
      <c r="Y296" s="2"/>
      <c r="Z296" s="2"/>
      <c r="AA296" s="2"/>
    </row>
    <row r="297" customFormat="false" ht="15.75" hidden="false" customHeight="false" outlineLevel="0" collapsed="false">
      <c r="A297" s="2"/>
      <c r="B297" s="2" t="s">
        <v>75</v>
      </c>
      <c r="C297" s="2" t="s">
        <v>93</v>
      </c>
      <c r="D297" s="2" t="s">
        <v>89</v>
      </c>
      <c r="E297" s="2" t="s">
        <v>93</v>
      </c>
      <c r="F297" s="2" t="s">
        <v>93</v>
      </c>
      <c r="G297" s="2"/>
      <c r="H297" s="2"/>
      <c r="I297" s="2" t="s">
        <v>83</v>
      </c>
      <c r="J297" s="2" t="s">
        <v>83</v>
      </c>
      <c r="K297" s="2" t="s">
        <v>96</v>
      </c>
      <c r="L297" s="2" t="s">
        <v>63</v>
      </c>
      <c r="M297" s="2" t="s">
        <v>83</v>
      </c>
      <c r="N297" s="2"/>
      <c r="O297" s="2"/>
      <c r="P297" s="2"/>
      <c r="Q297" s="2"/>
      <c r="R297" s="2"/>
      <c r="S297" s="2"/>
      <c r="T297" s="2"/>
      <c r="U297" s="2"/>
      <c r="V297" s="2"/>
      <c r="W297" s="2"/>
      <c r="X297" s="2"/>
      <c r="Y297" s="2"/>
      <c r="Z297" s="2"/>
      <c r="AA297" s="2"/>
    </row>
    <row r="298" customFormat="false" ht="15.75" hidden="false" customHeight="false" outlineLevel="0" collapsed="false">
      <c r="A298" s="2"/>
      <c r="B298" s="2" t="s">
        <v>72</v>
      </c>
      <c r="C298" s="2" t="s">
        <v>69</v>
      </c>
      <c r="D298" s="2" t="s">
        <v>93</v>
      </c>
      <c r="E298" s="2" t="s">
        <v>96</v>
      </c>
      <c r="F298" s="2" t="s">
        <v>96</v>
      </c>
      <c r="G298" s="2"/>
      <c r="H298" s="2"/>
      <c r="I298" s="2" t="s">
        <v>83</v>
      </c>
      <c r="J298" s="2" t="s">
        <v>96</v>
      </c>
      <c r="K298" s="2" t="s">
        <v>96</v>
      </c>
      <c r="L298" s="2" t="s">
        <v>63</v>
      </c>
      <c r="M298" s="2" t="s">
        <v>83</v>
      </c>
      <c r="N298" s="2"/>
      <c r="O298" s="2"/>
      <c r="P298" s="2"/>
      <c r="Q298" s="2"/>
      <c r="R298" s="2"/>
      <c r="S298" s="2"/>
      <c r="T298" s="2"/>
      <c r="U298" s="2"/>
      <c r="V298" s="2"/>
      <c r="W298" s="2"/>
      <c r="X298" s="2"/>
      <c r="Y298" s="2"/>
      <c r="Z298" s="2"/>
      <c r="AA298" s="2"/>
    </row>
    <row r="299" customFormat="false" ht="15.75" hidden="false" customHeight="false" outlineLevel="0" collapsed="false">
      <c r="A299" s="2"/>
      <c r="B299" s="2" t="s">
        <v>78</v>
      </c>
      <c r="C299" s="2" t="s">
        <v>66</v>
      </c>
      <c r="D299" s="2" t="s">
        <v>89</v>
      </c>
      <c r="E299" s="2" t="s">
        <v>78</v>
      </c>
      <c r="F299" s="2" t="s">
        <v>89</v>
      </c>
      <c r="G299" s="2"/>
      <c r="H299" s="2"/>
      <c r="I299" s="2" t="s">
        <v>83</v>
      </c>
      <c r="J299" s="2" t="s">
        <v>96</v>
      </c>
      <c r="K299" s="2" t="s">
        <v>96</v>
      </c>
      <c r="L299" s="2" t="s">
        <v>63</v>
      </c>
      <c r="M299" s="2" t="s">
        <v>83</v>
      </c>
      <c r="N299" s="2"/>
      <c r="O299" s="2"/>
      <c r="P299" s="2"/>
      <c r="Q299" s="2"/>
      <c r="R299" s="2"/>
      <c r="S299" s="2"/>
      <c r="T299" s="2"/>
      <c r="U299" s="2"/>
      <c r="V299" s="2"/>
      <c r="W299" s="2"/>
      <c r="X299" s="2"/>
      <c r="Y299" s="2"/>
      <c r="Z299" s="2"/>
      <c r="AA299" s="2"/>
    </row>
    <row r="300" customFormat="false" ht="15.75" hidden="false" customHeight="false" outlineLevel="0" collapsed="false">
      <c r="A300" s="2"/>
      <c r="B300" s="2" t="s">
        <v>83</v>
      </c>
      <c r="C300" s="2" t="s">
        <v>69</v>
      </c>
      <c r="D300" s="2" t="s">
        <v>81</v>
      </c>
      <c r="E300" s="2" t="s">
        <v>72</v>
      </c>
      <c r="F300" s="2" t="s">
        <v>89</v>
      </c>
      <c r="G300" s="2"/>
      <c r="H300" s="2"/>
      <c r="I300" s="2" t="s">
        <v>89</v>
      </c>
      <c r="J300" s="2" t="s">
        <v>96</v>
      </c>
      <c r="K300" s="2" t="s">
        <v>96</v>
      </c>
      <c r="L300" s="2" t="s">
        <v>63</v>
      </c>
      <c r="M300" s="2" t="s">
        <v>93</v>
      </c>
      <c r="N300" s="2"/>
      <c r="O300" s="2"/>
      <c r="P300" s="2"/>
      <c r="Q300" s="2"/>
      <c r="R300" s="2"/>
      <c r="S300" s="2"/>
      <c r="T300" s="2"/>
      <c r="U300" s="2"/>
      <c r="V300" s="2"/>
      <c r="W300" s="2"/>
      <c r="X300" s="2"/>
      <c r="Y300" s="2"/>
      <c r="Z300" s="2"/>
      <c r="AA300" s="2"/>
    </row>
    <row r="301" customFormat="false" ht="15.75" hidden="false" customHeight="false" outlineLevel="0" collapsed="false">
      <c r="A301" s="2"/>
      <c r="B301" s="2" t="s">
        <v>63</v>
      </c>
      <c r="C301" s="2" t="s">
        <v>81</v>
      </c>
      <c r="D301" s="2" t="s">
        <v>75</v>
      </c>
      <c r="E301" s="2" t="s">
        <v>149</v>
      </c>
      <c r="F301" s="2" t="s">
        <v>96</v>
      </c>
      <c r="G301" s="2"/>
      <c r="H301" s="2"/>
      <c r="I301" s="2" t="s">
        <v>89</v>
      </c>
      <c r="J301" s="2" t="s">
        <v>96</v>
      </c>
      <c r="K301" s="2" t="s">
        <v>78</v>
      </c>
      <c r="L301" s="2" t="s">
        <v>81</v>
      </c>
      <c r="M301" s="2" t="s">
        <v>93</v>
      </c>
      <c r="N301" s="2"/>
      <c r="O301" s="2"/>
      <c r="P301" s="2"/>
      <c r="Q301" s="2"/>
      <c r="R301" s="2"/>
      <c r="S301" s="2"/>
      <c r="T301" s="2"/>
      <c r="U301" s="2"/>
      <c r="V301" s="2"/>
      <c r="W301" s="2"/>
      <c r="X301" s="2"/>
      <c r="Y301" s="2"/>
      <c r="Z301" s="2"/>
      <c r="AA301" s="2"/>
    </row>
    <row r="302" customFormat="false" ht="15.75" hidden="false" customHeight="false" outlineLevel="0" collapsed="false">
      <c r="A302" s="2"/>
      <c r="B302" s="2" t="s">
        <v>96</v>
      </c>
      <c r="C302" s="2" t="s">
        <v>63</v>
      </c>
      <c r="D302" s="2" t="s">
        <v>72</v>
      </c>
      <c r="E302" s="2" t="s">
        <v>66</v>
      </c>
      <c r="F302" s="2" t="s">
        <v>83</v>
      </c>
      <c r="G302" s="2"/>
      <c r="H302" s="2"/>
      <c r="I302" s="2" t="s">
        <v>89</v>
      </c>
      <c r="J302" s="2" t="s">
        <v>81</v>
      </c>
      <c r="K302" s="2" t="s">
        <v>78</v>
      </c>
      <c r="L302" s="2" t="s">
        <v>81</v>
      </c>
      <c r="M302" s="2" t="s">
        <v>93</v>
      </c>
      <c r="N302" s="2"/>
      <c r="O302" s="2"/>
      <c r="P302" s="2"/>
      <c r="Q302" s="2"/>
      <c r="R302" s="2"/>
      <c r="S302" s="2"/>
      <c r="T302" s="2"/>
      <c r="U302" s="2"/>
      <c r="V302" s="2"/>
      <c r="W302" s="2"/>
      <c r="X302" s="2"/>
      <c r="Y302" s="2"/>
      <c r="Z302" s="2"/>
      <c r="AA302" s="2"/>
    </row>
    <row r="303" customFormat="false" ht="15.75" hidden="false" customHeight="false" outlineLevel="0" collapsed="false">
      <c r="A303" s="2"/>
      <c r="B303" s="2" t="s">
        <v>69</v>
      </c>
      <c r="C303" s="2" t="s">
        <v>81</v>
      </c>
      <c r="D303" s="2" t="s">
        <v>89</v>
      </c>
      <c r="E303" s="2" t="s">
        <v>69</v>
      </c>
      <c r="F303" s="2" t="s">
        <v>96</v>
      </c>
      <c r="G303" s="2"/>
      <c r="H303" s="2"/>
      <c r="I303" s="2" t="s">
        <v>89</v>
      </c>
      <c r="J303" s="2" t="s">
        <v>81</v>
      </c>
      <c r="K303" s="2" t="s">
        <v>78</v>
      </c>
      <c r="L303" s="2" t="s">
        <v>81</v>
      </c>
      <c r="M303" s="2" t="s">
        <v>93</v>
      </c>
      <c r="N303" s="2"/>
      <c r="O303" s="2"/>
      <c r="P303" s="2"/>
      <c r="Q303" s="2"/>
      <c r="R303" s="2"/>
      <c r="S303" s="2"/>
      <c r="T303" s="2"/>
      <c r="U303" s="2"/>
      <c r="V303" s="2"/>
      <c r="W303" s="2"/>
      <c r="X303" s="2"/>
      <c r="Y303" s="2"/>
      <c r="Z303" s="2"/>
      <c r="AA303" s="2"/>
    </row>
    <row r="304" customFormat="false" ht="15.75" hidden="false" customHeight="false" outlineLevel="0" collapsed="false">
      <c r="A304" s="2"/>
      <c r="B304" s="2" t="s">
        <v>83</v>
      </c>
      <c r="C304" s="2" t="s">
        <v>81</v>
      </c>
      <c r="D304" s="2" t="s">
        <v>93</v>
      </c>
      <c r="E304" s="2" t="s">
        <v>83</v>
      </c>
      <c r="F304" s="2" t="s">
        <v>75</v>
      </c>
      <c r="G304" s="2"/>
      <c r="H304" s="2"/>
      <c r="I304" s="2" t="s">
        <v>83</v>
      </c>
      <c r="J304" s="2" t="s">
        <v>81</v>
      </c>
      <c r="K304" s="2" t="s">
        <v>78</v>
      </c>
      <c r="L304" s="2" t="s">
        <v>81</v>
      </c>
      <c r="M304" s="2" t="s">
        <v>63</v>
      </c>
      <c r="N304" s="2"/>
      <c r="O304" s="2"/>
      <c r="P304" s="2"/>
      <c r="Q304" s="2"/>
      <c r="R304" s="2"/>
      <c r="S304" s="2"/>
      <c r="T304" s="2"/>
      <c r="U304" s="2"/>
      <c r="V304" s="2"/>
      <c r="W304" s="2"/>
      <c r="X304" s="2"/>
      <c r="Y304" s="2"/>
      <c r="Z304" s="2"/>
      <c r="AA304" s="2"/>
    </row>
    <row r="305" customFormat="false" ht="15.75" hidden="false" customHeight="false" outlineLevel="0" collapsed="false">
      <c r="A305" s="2"/>
      <c r="B305" s="2" t="s">
        <v>78</v>
      </c>
      <c r="C305" s="2" t="s">
        <v>96</v>
      </c>
      <c r="D305" s="2" t="s">
        <v>69</v>
      </c>
      <c r="E305" s="2" t="s">
        <v>93</v>
      </c>
      <c r="F305" s="2" t="s">
        <v>75</v>
      </c>
      <c r="G305" s="2"/>
      <c r="H305" s="2"/>
      <c r="I305" s="2" t="s">
        <v>83</v>
      </c>
      <c r="J305" s="2" t="s">
        <v>81</v>
      </c>
      <c r="K305" s="2" t="s">
        <v>96</v>
      </c>
      <c r="L305" s="2" t="s">
        <v>89</v>
      </c>
      <c r="M305" s="2" t="s">
        <v>63</v>
      </c>
      <c r="N305" s="2"/>
      <c r="O305" s="2"/>
      <c r="P305" s="2"/>
      <c r="Q305" s="2"/>
      <c r="R305" s="2"/>
      <c r="S305" s="2"/>
      <c r="T305" s="2"/>
      <c r="U305" s="2"/>
      <c r="V305" s="2"/>
      <c r="W305" s="2"/>
      <c r="X305" s="2"/>
      <c r="Y305" s="2"/>
      <c r="Z305" s="2"/>
      <c r="AA305" s="2"/>
    </row>
    <row r="306" customFormat="false" ht="15.75" hidden="false" customHeight="false" outlineLevel="0" collapsed="false">
      <c r="A306" s="2"/>
      <c r="B306" s="2" t="s">
        <v>96</v>
      </c>
      <c r="C306" s="2" t="s">
        <v>93</v>
      </c>
      <c r="D306" s="2" t="s">
        <v>78</v>
      </c>
      <c r="E306" s="2" t="s">
        <v>83</v>
      </c>
      <c r="F306" s="2" t="s">
        <v>81</v>
      </c>
      <c r="G306" s="2"/>
      <c r="H306" s="2"/>
      <c r="I306" s="2" t="s">
        <v>83</v>
      </c>
      <c r="J306" s="2" t="s">
        <v>69</v>
      </c>
      <c r="K306" s="2" t="s">
        <v>89</v>
      </c>
      <c r="L306" s="2" t="s">
        <v>89</v>
      </c>
      <c r="M306" s="2" t="s">
        <v>63</v>
      </c>
      <c r="N306" s="2"/>
      <c r="O306" s="2"/>
      <c r="P306" s="2"/>
      <c r="Q306" s="2"/>
      <c r="R306" s="2"/>
      <c r="S306" s="2"/>
      <c r="T306" s="2"/>
      <c r="U306" s="2"/>
      <c r="V306" s="2"/>
      <c r="W306" s="2"/>
      <c r="X306" s="2"/>
      <c r="Y306" s="2"/>
      <c r="Z306" s="2"/>
      <c r="AA306" s="2"/>
    </row>
    <row r="307" customFormat="false" ht="15.75" hidden="false" customHeight="false" outlineLevel="0" collapsed="false">
      <c r="A307" s="2"/>
      <c r="B307" s="2" t="s">
        <v>96</v>
      </c>
      <c r="C307" s="2" t="s">
        <v>96</v>
      </c>
      <c r="D307" s="2" t="s">
        <v>147</v>
      </c>
      <c r="E307" s="2" t="s">
        <v>96</v>
      </c>
      <c r="F307" s="2" t="s">
        <v>81</v>
      </c>
      <c r="G307" s="2"/>
      <c r="H307" s="2"/>
      <c r="I307" s="2" t="s">
        <v>83</v>
      </c>
      <c r="J307" s="2" t="s">
        <v>69</v>
      </c>
      <c r="K307" s="2" t="s">
        <v>89</v>
      </c>
      <c r="L307" s="2" t="s">
        <v>89</v>
      </c>
      <c r="M307" s="2" t="s">
        <v>63</v>
      </c>
      <c r="N307" s="2"/>
      <c r="O307" s="2"/>
      <c r="P307" s="2"/>
      <c r="Q307" s="2"/>
      <c r="R307" s="2"/>
      <c r="S307" s="2"/>
      <c r="T307" s="2"/>
      <c r="U307" s="2"/>
      <c r="V307" s="2"/>
      <c r="W307" s="2"/>
      <c r="X307" s="2"/>
      <c r="Y307" s="2"/>
      <c r="Z307" s="2"/>
      <c r="AA307" s="2"/>
    </row>
    <row r="308" customFormat="false" ht="15.75" hidden="false" customHeight="false" outlineLevel="0" collapsed="false">
      <c r="A308" s="2"/>
      <c r="B308" s="2" t="s">
        <v>83</v>
      </c>
      <c r="C308" s="2" t="s">
        <v>78</v>
      </c>
      <c r="D308" s="2" t="s">
        <v>66</v>
      </c>
      <c r="E308" s="2" t="s">
        <v>75</v>
      </c>
      <c r="F308" s="2" t="s">
        <v>69</v>
      </c>
      <c r="G308" s="2"/>
      <c r="H308" s="2"/>
      <c r="I308" s="2" t="s">
        <v>89</v>
      </c>
      <c r="J308" s="2" t="s">
        <v>69</v>
      </c>
      <c r="K308" s="2" t="s">
        <v>89</v>
      </c>
      <c r="L308" s="2" t="s">
        <v>89</v>
      </c>
      <c r="M308" s="2" t="s">
        <v>72</v>
      </c>
      <c r="N308" s="2"/>
      <c r="O308" s="2"/>
      <c r="P308" s="2"/>
      <c r="Q308" s="2"/>
      <c r="R308" s="2"/>
      <c r="S308" s="2"/>
      <c r="T308" s="2"/>
      <c r="U308" s="2"/>
      <c r="V308" s="2"/>
      <c r="W308" s="2"/>
      <c r="X308" s="2"/>
      <c r="Y308" s="2"/>
      <c r="Z308" s="2"/>
      <c r="AA308" s="2"/>
    </row>
    <row r="309" customFormat="false" ht="15.75" hidden="false" customHeight="false" outlineLevel="0" collapsed="false">
      <c r="A309" s="2"/>
      <c r="B309" s="2" t="s">
        <v>72</v>
      </c>
      <c r="C309" s="2" t="s">
        <v>89</v>
      </c>
      <c r="D309" s="2" t="s">
        <v>83</v>
      </c>
      <c r="E309" s="2" t="s">
        <v>93</v>
      </c>
      <c r="F309" s="2" t="s">
        <v>69</v>
      </c>
      <c r="G309" s="2"/>
      <c r="H309" s="2"/>
      <c r="I309" s="2" t="s">
        <v>89</v>
      </c>
      <c r="J309" s="2" t="s">
        <v>69</v>
      </c>
      <c r="K309" s="2" t="s">
        <v>89</v>
      </c>
      <c r="L309" s="2" t="s">
        <v>93</v>
      </c>
      <c r="M309" s="2" t="s">
        <v>72</v>
      </c>
      <c r="N309" s="2"/>
      <c r="O309" s="2"/>
      <c r="P309" s="2"/>
      <c r="Q309" s="2"/>
      <c r="R309" s="2"/>
      <c r="S309" s="2"/>
      <c r="T309" s="2"/>
      <c r="U309" s="2"/>
      <c r="V309" s="2"/>
      <c r="W309" s="2"/>
      <c r="X309" s="2"/>
      <c r="Y309" s="2"/>
      <c r="Z309" s="2"/>
      <c r="AA309" s="2"/>
    </row>
    <row r="310" customFormat="false" ht="15.75" hidden="false" customHeight="false" outlineLevel="0" collapsed="false">
      <c r="A310" s="2"/>
      <c r="B310" s="2" t="s">
        <v>83</v>
      </c>
      <c r="C310" s="2" t="s">
        <v>72</v>
      </c>
      <c r="D310" s="2" t="s">
        <v>78</v>
      </c>
      <c r="E310" s="2" t="s">
        <v>72</v>
      </c>
      <c r="F310" s="2" t="s">
        <v>81</v>
      </c>
      <c r="G310" s="2"/>
      <c r="H310" s="2"/>
      <c r="I310" s="2" t="s">
        <v>89</v>
      </c>
      <c r="J310" s="2" t="s">
        <v>66</v>
      </c>
      <c r="K310" s="2" t="s">
        <v>96</v>
      </c>
      <c r="L310" s="2" t="s">
        <v>93</v>
      </c>
      <c r="M310" s="2" t="s">
        <v>72</v>
      </c>
      <c r="N310" s="2"/>
      <c r="O310" s="2"/>
      <c r="P310" s="2"/>
      <c r="Q310" s="2"/>
      <c r="R310" s="2"/>
      <c r="S310" s="2"/>
      <c r="T310" s="2"/>
      <c r="U310" s="2"/>
      <c r="V310" s="2"/>
      <c r="W310" s="2"/>
      <c r="X310" s="2"/>
      <c r="Y310" s="2"/>
      <c r="Z310" s="2"/>
      <c r="AA310" s="2"/>
    </row>
    <row r="311" customFormat="false" ht="15.75" hidden="false" customHeight="false" outlineLevel="0" collapsed="false">
      <c r="A311" s="2"/>
      <c r="B311" s="2" t="s">
        <v>81</v>
      </c>
      <c r="C311" s="2" t="s">
        <v>93</v>
      </c>
      <c r="D311" s="2" t="s">
        <v>93</v>
      </c>
      <c r="E311" s="2" t="s">
        <v>89</v>
      </c>
      <c r="F311" s="2" t="s">
        <v>83</v>
      </c>
      <c r="G311" s="2"/>
      <c r="H311" s="2"/>
      <c r="I311" s="2" t="s">
        <v>89</v>
      </c>
      <c r="J311" s="2" t="s">
        <v>66</v>
      </c>
      <c r="K311" s="2" t="s">
        <v>96</v>
      </c>
      <c r="L311" s="2" t="s">
        <v>93</v>
      </c>
      <c r="M311" s="2" t="s">
        <v>72</v>
      </c>
      <c r="N311" s="2"/>
      <c r="O311" s="2"/>
      <c r="P311" s="2"/>
      <c r="Q311" s="2"/>
      <c r="R311" s="2"/>
      <c r="S311" s="2"/>
      <c r="T311" s="2"/>
      <c r="U311" s="2"/>
      <c r="V311" s="2"/>
      <c r="W311" s="2"/>
      <c r="X311" s="2"/>
      <c r="Y311" s="2"/>
      <c r="Z311" s="2"/>
      <c r="AA311" s="2"/>
    </row>
    <row r="312" customFormat="false" ht="15.75" hidden="false" customHeight="false" outlineLevel="0" collapsed="false">
      <c r="A312" s="2"/>
      <c r="B312" s="2" t="s">
        <v>93</v>
      </c>
      <c r="C312" s="2" t="s">
        <v>75</v>
      </c>
      <c r="D312" s="2" t="s">
        <v>72</v>
      </c>
      <c r="E312" s="2" t="s">
        <v>149</v>
      </c>
      <c r="F312" s="2" t="s">
        <v>83</v>
      </c>
      <c r="G312" s="2"/>
      <c r="H312" s="2"/>
      <c r="I312" s="2" t="s">
        <v>81</v>
      </c>
      <c r="J312" s="2" t="s">
        <v>66</v>
      </c>
      <c r="K312" s="2" t="s">
        <v>96</v>
      </c>
      <c r="L312" s="2" t="s">
        <v>93</v>
      </c>
      <c r="M312" s="2" t="s">
        <v>83</v>
      </c>
      <c r="N312" s="2"/>
      <c r="O312" s="2"/>
      <c r="P312" s="2"/>
      <c r="Q312" s="2"/>
      <c r="R312" s="2"/>
      <c r="S312" s="2"/>
      <c r="T312" s="2"/>
      <c r="U312" s="2"/>
      <c r="V312" s="2"/>
      <c r="W312" s="2"/>
      <c r="X312" s="2"/>
      <c r="Y312" s="2"/>
      <c r="Z312" s="2"/>
      <c r="AA312" s="2"/>
    </row>
    <row r="313" customFormat="false" ht="15.75" hidden="false" customHeight="false" outlineLevel="0" collapsed="false">
      <c r="A313" s="2"/>
      <c r="B313" s="2" t="s">
        <v>69</v>
      </c>
      <c r="C313" s="2" t="s">
        <v>93</v>
      </c>
      <c r="D313" s="2" t="s">
        <v>63</v>
      </c>
      <c r="E313" s="2" t="s">
        <v>93</v>
      </c>
      <c r="F313" s="2" t="s">
        <v>147</v>
      </c>
      <c r="G313" s="2"/>
      <c r="H313" s="2"/>
      <c r="I313" s="2" t="s">
        <v>81</v>
      </c>
      <c r="J313" s="2" t="s">
        <v>66</v>
      </c>
      <c r="K313" s="2" t="s">
        <v>96</v>
      </c>
      <c r="L313" s="2" t="s">
        <v>69</v>
      </c>
      <c r="M313" s="2" t="s">
        <v>83</v>
      </c>
      <c r="N313" s="2"/>
      <c r="O313" s="2"/>
      <c r="P313" s="2"/>
      <c r="Q313" s="2"/>
      <c r="R313" s="2"/>
      <c r="S313" s="2"/>
      <c r="T313" s="2"/>
      <c r="U313" s="2"/>
      <c r="V313" s="2"/>
      <c r="W313" s="2"/>
      <c r="X313" s="2"/>
      <c r="Y313" s="2"/>
      <c r="Z313" s="2"/>
      <c r="AA313" s="2"/>
    </row>
    <row r="314" customFormat="false" ht="15.75" hidden="false" customHeight="false" outlineLevel="0" collapsed="false">
      <c r="A314" s="2"/>
      <c r="B314" s="2" t="s">
        <v>93</v>
      </c>
      <c r="C314" s="2" t="s">
        <v>89</v>
      </c>
      <c r="D314" s="2" t="s">
        <v>89</v>
      </c>
      <c r="E314" s="2" t="s">
        <v>89</v>
      </c>
      <c r="F314" s="2" t="s">
        <v>83</v>
      </c>
      <c r="G314" s="2"/>
      <c r="H314" s="2"/>
      <c r="I314" s="2" t="s">
        <v>81</v>
      </c>
      <c r="J314" s="2" t="s">
        <v>72</v>
      </c>
      <c r="K314" s="2" t="s">
        <v>75</v>
      </c>
      <c r="L314" s="2" t="s">
        <v>69</v>
      </c>
      <c r="M314" s="2" t="s">
        <v>83</v>
      </c>
      <c r="N314" s="2"/>
      <c r="O314" s="2"/>
      <c r="P314" s="2"/>
      <c r="Q314" s="2"/>
      <c r="R314" s="2"/>
      <c r="S314" s="2"/>
      <c r="T314" s="2"/>
      <c r="U314" s="2"/>
      <c r="V314" s="2"/>
      <c r="W314" s="2"/>
      <c r="X314" s="2"/>
      <c r="Y314" s="2"/>
      <c r="Z314" s="2"/>
      <c r="AA314" s="2"/>
    </row>
    <row r="315" customFormat="false" ht="15.75" hidden="false" customHeight="false" outlineLevel="0" collapsed="false">
      <c r="A315" s="2"/>
      <c r="B315" s="2" t="s">
        <v>96</v>
      </c>
      <c r="C315" s="2" t="s">
        <v>89</v>
      </c>
      <c r="D315" s="2" t="s">
        <v>78</v>
      </c>
      <c r="E315" s="2" t="s">
        <v>69</v>
      </c>
      <c r="F315" s="2" t="s">
        <v>81</v>
      </c>
      <c r="G315" s="2"/>
      <c r="H315" s="2"/>
      <c r="I315" s="2" t="s">
        <v>81</v>
      </c>
      <c r="J315" s="2" t="s">
        <v>72</v>
      </c>
      <c r="K315" s="2" t="s">
        <v>75</v>
      </c>
      <c r="L315" s="2" t="s">
        <v>69</v>
      </c>
      <c r="M315" s="2" t="s">
        <v>83</v>
      </c>
      <c r="N315" s="2"/>
      <c r="O315" s="2"/>
      <c r="P315" s="2"/>
      <c r="Q315" s="2"/>
      <c r="R315" s="2"/>
      <c r="S315" s="2"/>
      <c r="T315" s="2"/>
      <c r="U315" s="2"/>
      <c r="V315" s="2"/>
      <c r="W315" s="2"/>
      <c r="X315" s="2"/>
      <c r="Y315" s="2"/>
      <c r="Z315" s="2"/>
      <c r="AA315" s="2"/>
    </row>
    <row r="316" customFormat="false" ht="15.75" hidden="false" customHeight="false" outlineLevel="0" collapsed="false">
      <c r="A316" s="2"/>
      <c r="B316" s="2" t="s">
        <v>72</v>
      </c>
      <c r="C316" s="2" t="s">
        <v>66</v>
      </c>
      <c r="D316" s="2" t="s">
        <v>81</v>
      </c>
      <c r="E316" s="2" t="s">
        <v>66</v>
      </c>
      <c r="F316" s="2" t="s">
        <v>72</v>
      </c>
      <c r="G316" s="2"/>
      <c r="H316" s="2"/>
      <c r="I316" s="2" t="s">
        <v>93</v>
      </c>
      <c r="J316" s="2" t="s">
        <v>72</v>
      </c>
      <c r="K316" s="2" t="s">
        <v>96</v>
      </c>
      <c r="L316" s="2" t="s">
        <v>69</v>
      </c>
      <c r="M316" s="2" t="s">
        <v>78</v>
      </c>
      <c r="N316" s="2"/>
      <c r="O316" s="2"/>
      <c r="P316" s="2"/>
      <c r="Q316" s="2"/>
      <c r="R316" s="2"/>
      <c r="S316" s="2"/>
      <c r="T316" s="2"/>
      <c r="U316" s="2"/>
      <c r="V316" s="2"/>
      <c r="W316" s="2"/>
      <c r="X316" s="2"/>
      <c r="Y316" s="2"/>
      <c r="Z316" s="2"/>
      <c r="AA316" s="2"/>
    </row>
    <row r="317" customFormat="false" ht="15.75" hidden="false" customHeight="false" outlineLevel="0" collapsed="false">
      <c r="A317" s="2"/>
      <c r="B317" s="2" t="s">
        <v>75</v>
      </c>
      <c r="C317" s="2" t="s">
        <v>69</v>
      </c>
      <c r="D317" s="2" t="s">
        <v>72</v>
      </c>
      <c r="E317" s="2" t="s">
        <v>66</v>
      </c>
      <c r="F317" s="2" t="s">
        <v>75</v>
      </c>
      <c r="G317" s="2"/>
      <c r="H317" s="2"/>
      <c r="I317" s="2" t="s">
        <v>93</v>
      </c>
      <c r="J317" s="2" t="s">
        <v>72</v>
      </c>
      <c r="K317" s="2" t="s">
        <v>96</v>
      </c>
      <c r="L317" s="2" t="s">
        <v>149</v>
      </c>
      <c r="M317" s="2" t="s">
        <v>78</v>
      </c>
      <c r="N317" s="2"/>
      <c r="O317" s="2"/>
      <c r="P317" s="2"/>
      <c r="Q317" s="2"/>
      <c r="R317" s="2"/>
      <c r="S317" s="2"/>
      <c r="T317" s="2"/>
      <c r="U317" s="2"/>
      <c r="V317" s="2"/>
      <c r="W317" s="2"/>
      <c r="X317" s="2"/>
      <c r="Y317" s="2"/>
      <c r="Z317" s="2"/>
      <c r="AA317" s="2"/>
    </row>
    <row r="318" customFormat="false" ht="15.75" hidden="false" customHeight="false" outlineLevel="0" collapsed="false">
      <c r="A318" s="2"/>
      <c r="B318" s="2" t="s">
        <v>89</v>
      </c>
      <c r="C318" s="2" t="s">
        <v>78</v>
      </c>
      <c r="D318" s="2" t="s">
        <v>89</v>
      </c>
      <c r="E318" s="2" t="s">
        <v>72</v>
      </c>
      <c r="F318" s="2" t="s">
        <v>147</v>
      </c>
      <c r="G318" s="2"/>
      <c r="H318" s="2"/>
      <c r="I318" s="2" t="s">
        <v>93</v>
      </c>
      <c r="J318" s="2" t="s">
        <v>93</v>
      </c>
      <c r="K318" s="2" t="s">
        <v>96</v>
      </c>
      <c r="L318" s="2" t="s">
        <v>96</v>
      </c>
      <c r="M318" s="2" t="s">
        <v>78</v>
      </c>
      <c r="N318" s="2"/>
      <c r="O318" s="2"/>
      <c r="P318" s="2"/>
      <c r="Q318" s="2"/>
      <c r="R318" s="2"/>
      <c r="S318" s="2"/>
      <c r="T318" s="2"/>
      <c r="U318" s="2"/>
      <c r="V318" s="2"/>
      <c r="W318" s="2"/>
      <c r="X318" s="2"/>
      <c r="Y318" s="2"/>
      <c r="Z318" s="2"/>
      <c r="AA318" s="2"/>
    </row>
    <row r="319" customFormat="false" ht="15.75" hidden="false" customHeight="false" outlineLevel="0" collapsed="false">
      <c r="A319" s="2"/>
      <c r="B319" s="2" t="s">
        <v>96</v>
      </c>
      <c r="C319" s="2" t="s">
        <v>149</v>
      </c>
      <c r="D319" s="2" t="s">
        <v>96</v>
      </c>
      <c r="E319" s="2" t="s">
        <v>93</v>
      </c>
      <c r="F319" s="2" t="s">
        <v>78</v>
      </c>
      <c r="G319" s="2"/>
      <c r="H319" s="2"/>
      <c r="I319" s="2" t="s">
        <v>93</v>
      </c>
      <c r="J319" s="2" t="s">
        <v>93</v>
      </c>
      <c r="K319" s="2" t="s">
        <v>96</v>
      </c>
      <c r="L319" s="2" t="s">
        <v>96</v>
      </c>
      <c r="M319" s="2" t="s">
        <v>78</v>
      </c>
      <c r="N319" s="2"/>
      <c r="O319" s="2"/>
      <c r="P319" s="2"/>
      <c r="Q319" s="2"/>
      <c r="R319" s="2"/>
      <c r="S319" s="2"/>
      <c r="T319" s="2"/>
      <c r="U319" s="2"/>
      <c r="V319" s="2"/>
      <c r="W319" s="2"/>
      <c r="X319" s="2"/>
      <c r="Y319" s="2"/>
      <c r="Z319" s="2"/>
      <c r="AA319" s="2"/>
    </row>
    <row r="320" customFormat="false" ht="15.75" hidden="false" customHeight="false" outlineLevel="0" collapsed="false">
      <c r="A320" s="2"/>
      <c r="B320" s="2" t="s">
        <v>93</v>
      </c>
      <c r="C320" s="2" t="s">
        <v>69</v>
      </c>
      <c r="D320" s="2" t="s">
        <v>83</v>
      </c>
      <c r="E320" s="2" t="s">
        <v>63</v>
      </c>
      <c r="F320" s="2" t="s">
        <v>63</v>
      </c>
      <c r="G320" s="2"/>
      <c r="H320" s="2"/>
      <c r="I320" s="2" t="s">
        <v>96</v>
      </c>
      <c r="J320" s="2" t="s">
        <v>93</v>
      </c>
      <c r="K320" s="2" t="s">
        <v>72</v>
      </c>
      <c r="L320" s="2" t="s">
        <v>96</v>
      </c>
      <c r="M320" s="2" t="s">
        <v>83</v>
      </c>
      <c r="N320" s="2"/>
      <c r="O320" s="2"/>
      <c r="P320" s="2"/>
      <c r="Q320" s="2"/>
      <c r="R320" s="2"/>
      <c r="S320" s="2"/>
      <c r="T320" s="2"/>
      <c r="U320" s="2"/>
      <c r="V320" s="2"/>
      <c r="W320" s="2"/>
      <c r="X320" s="2"/>
      <c r="Y320" s="2"/>
      <c r="Z320" s="2"/>
      <c r="AA320" s="2"/>
    </row>
    <row r="321" customFormat="false" ht="15.75" hidden="false" customHeight="false" outlineLevel="0" collapsed="false">
      <c r="A321" s="2"/>
      <c r="B321" s="2" t="s">
        <v>96</v>
      </c>
      <c r="C321" s="2" t="s">
        <v>83</v>
      </c>
      <c r="D321" s="2" t="s">
        <v>66</v>
      </c>
      <c r="E321" s="2" t="s">
        <v>69</v>
      </c>
      <c r="F321" s="2" t="s">
        <v>96</v>
      </c>
      <c r="G321" s="2"/>
      <c r="H321" s="2"/>
      <c r="I321" s="2" t="s">
        <v>96</v>
      </c>
      <c r="J321" s="2" t="s">
        <v>93</v>
      </c>
      <c r="K321" s="2" t="s">
        <v>72</v>
      </c>
      <c r="L321" s="2" t="s">
        <v>96</v>
      </c>
      <c r="M321" s="2" t="s">
        <v>83</v>
      </c>
      <c r="N321" s="2"/>
      <c r="O321" s="2"/>
      <c r="P321" s="2"/>
      <c r="Q321" s="2"/>
      <c r="R321" s="2"/>
      <c r="S321" s="2"/>
      <c r="T321" s="2"/>
      <c r="U321" s="2"/>
      <c r="V321" s="2"/>
      <c r="W321" s="2"/>
      <c r="X321" s="2"/>
      <c r="Y321" s="2"/>
      <c r="Z321" s="2"/>
      <c r="AA321" s="2"/>
    </row>
    <row r="322" customFormat="false" ht="15.75" hidden="false" customHeight="false" outlineLevel="0" collapsed="false">
      <c r="A322" s="2"/>
      <c r="B322" s="2" t="s">
        <v>147</v>
      </c>
      <c r="C322" s="2" t="s">
        <v>96</v>
      </c>
      <c r="D322" s="2" t="s">
        <v>63</v>
      </c>
      <c r="E322" s="2" t="s">
        <v>66</v>
      </c>
      <c r="F322" s="2" t="s">
        <v>63</v>
      </c>
      <c r="G322" s="2"/>
      <c r="H322" s="2"/>
      <c r="I322" s="2" t="s">
        <v>96</v>
      </c>
      <c r="J322" s="2" t="s">
        <v>89</v>
      </c>
      <c r="K322" s="2" t="s">
        <v>72</v>
      </c>
      <c r="L322" s="2" t="s">
        <v>149</v>
      </c>
      <c r="M322" s="2" t="s">
        <v>83</v>
      </c>
      <c r="N322" s="2"/>
      <c r="O322" s="2"/>
      <c r="P322" s="2"/>
      <c r="Q322" s="2"/>
      <c r="R322" s="2"/>
      <c r="S322" s="2"/>
      <c r="T322" s="2"/>
      <c r="U322" s="2"/>
      <c r="V322" s="2"/>
      <c r="W322" s="2"/>
      <c r="X322" s="2"/>
      <c r="Y322" s="2"/>
      <c r="Z322" s="2"/>
      <c r="AA322" s="2"/>
    </row>
    <row r="323" customFormat="false" ht="15.75" hidden="false" customHeight="false" outlineLevel="0" collapsed="false">
      <c r="A323" s="2"/>
      <c r="B323" s="2" t="s">
        <v>89</v>
      </c>
      <c r="C323" s="2" t="s">
        <v>83</v>
      </c>
      <c r="D323" s="2" t="s">
        <v>75</v>
      </c>
      <c r="E323" s="2" t="s">
        <v>96</v>
      </c>
      <c r="F323" s="2" t="s">
        <v>147</v>
      </c>
      <c r="G323" s="2"/>
      <c r="H323" s="2"/>
      <c r="I323" s="2" t="s">
        <v>96</v>
      </c>
      <c r="J323" s="2" t="s">
        <v>89</v>
      </c>
      <c r="K323" s="2" t="s">
        <v>72</v>
      </c>
      <c r="L323" s="2" t="s">
        <v>63</v>
      </c>
      <c r="M323" s="2" t="s">
        <v>83</v>
      </c>
      <c r="N323" s="2"/>
      <c r="O323" s="2"/>
      <c r="P323" s="2"/>
      <c r="Q323" s="2"/>
      <c r="R323" s="2"/>
      <c r="S323" s="2"/>
      <c r="T323" s="2"/>
      <c r="U323" s="2"/>
      <c r="V323" s="2"/>
      <c r="W323" s="2"/>
      <c r="X323" s="2"/>
      <c r="Y323" s="2"/>
      <c r="Z323" s="2"/>
      <c r="AA323" s="2"/>
    </row>
    <row r="324" customFormat="false" ht="15.75" hidden="false" customHeight="false" outlineLevel="0" collapsed="false">
      <c r="A324" s="2"/>
      <c r="B324" s="2" t="s">
        <v>72</v>
      </c>
      <c r="C324" s="2" t="s">
        <v>63</v>
      </c>
      <c r="D324" s="2" t="s">
        <v>96</v>
      </c>
      <c r="E324" s="2" t="s">
        <v>83</v>
      </c>
      <c r="F324" s="2" t="s">
        <v>81</v>
      </c>
      <c r="G324" s="2"/>
      <c r="H324" s="2"/>
      <c r="I324" s="2" t="s">
        <v>96</v>
      </c>
      <c r="J324" s="2" t="s">
        <v>89</v>
      </c>
      <c r="K324" s="2" t="s">
        <v>69</v>
      </c>
      <c r="L324" s="2" t="s">
        <v>63</v>
      </c>
      <c r="M324" s="2" t="s">
        <v>89</v>
      </c>
      <c r="N324" s="2"/>
      <c r="O324" s="2"/>
      <c r="P324" s="2"/>
      <c r="Q324" s="2"/>
      <c r="R324" s="2"/>
      <c r="S324" s="2"/>
      <c r="T324" s="2"/>
      <c r="U324" s="2"/>
      <c r="V324" s="2"/>
      <c r="W324" s="2"/>
      <c r="X324" s="2"/>
      <c r="Y324" s="2"/>
      <c r="Z324" s="2"/>
      <c r="AA324" s="2"/>
    </row>
    <row r="325" customFormat="false" ht="15.75" hidden="false" customHeight="false" outlineLevel="0" collapsed="false">
      <c r="A325" s="2"/>
      <c r="B325" s="2" t="s">
        <v>81</v>
      </c>
      <c r="C325" s="2" t="s">
        <v>93</v>
      </c>
      <c r="D325" s="2" t="s">
        <v>69</v>
      </c>
      <c r="E325" s="2" t="s">
        <v>149</v>
      </c>
      <c r="F325" s="2" t="s">
        <v>66</v>
      </c>
      <c r="G325" s="2"/>
      <c r="H325" s="2"/>
      <c r="I325" s="2" t="s">
        <v>96</v>
      </c>
      <c r="J325" s="2" t="s">
        <v>149</v>
      </c>
      <c r="K325" s="2" t="s">
        <v>149</v>
      </c>
      <c r="L325" s="2" t="s">
        <v>63</v>
      </c>
      <c r="M325" s="2" t="s">
        <v>89</v>
      </c>
      <c r="N325" s="2"/>
      <c r="O325" s="2"/>
      <c r="P325" s="2"/>
      <c r="Q325" s="2"/>
      <c r="R325" s="2"/>
      <c r="S325" s="2"/>
      <c r="T325" s="2"/>
      <c r="U325" s="2"/>
      <c r="V325" s="2"/>
      <c r="W325" s="2"/>
      <c r="X325" s="2"/>
      <c r="Y325" s="2"/>
      <c r="Z325" s="2"/>
      <c r="AA325" s="2"/>
    </row>
    <row r="326" customFormat="false" ht="15.75" hidden="false" customHeight="false" outlineLevel="0" collapsed="false">
      <c r="A326" s="2"/>
      <c r="B326" s="2" t="s">
        <v>93</v>
      </c>
      <c r="C326" s="2" t="s">
        <v>96</v>
      </c>
      <c r="D326" s="2" t="s">
        <v>93</v>
      </c>
      <c r="E326" s="2" t="s">
        <v>81</v>
      </c>
      <c r="F326" s="2" t="s">
        <v>72</v>
      </c>
      <c r="G326" s="2"/>
      <c r="H326" s="2"/>
      <c r="I326" s="2" t="s">
        <v>96</v>
      </c>
      <c r="J326" s="2" t="s">
        <v>89</v>
      </c>
      <c r="K326" s="2" t="s">
        <v>69</v>
      </c>
      <c r="L326" s="2" t="s">
        <v>63</v>
      </c>
      <c r="M326" s="2" t="s">
        <v>89</v>
      </c>
      <c r="N326" s="2"/>
      <c r="O326" s="2"/>
      <c r="P326" s="2"/>
      <c r="Q326" s="2"/>
      <c r="R326" s="2"/>
      <c r="S326" s="2"/>
      <c r="T326" s="2"/>
      <c r="U326" s="2"/>
      <c r="V326" s="2"/>
      <c r="W326" s="2"/>
      <c r="X326" s="2"/>
      <c r="Y326" s="2"/>
      <c r="Z326" s="2"/>
      <c r="AA326" s="2"/>
    </row>
    <row r="327" customFormat="false" ht="15.75" hidden="false" customHeight="false" outlineLevel="0" collapsed="false">
      <c r="A327" s="2"/>
      <c r="B327" s="2" t="s">
        <v>72</v>
      </c>
      <c r="C327" s="2" t="s">
        <v>75</v>
      </c>
      <c r="D327" s="2" t="s">
        <v>93</v>
      </c>
      <c r="E327" s="2" t="s">
        <v>96</v>
      </c>
      <c r="F327" s="2" t="s">
        <v>93</v>
      </c>
      <c r="G327" s="2"/>
      <c r="H327" s="2"/>
      <c r="I327" s="2" t="s">
        <v>96</v>
      </c>
      <c r="J327" s="2" t="s">
        <v>93</v>
      </c>
      <c r="K327" s="2" t="s">
        <v>69</v>
      </c>
      <c r="L327" s="2" t="s">
        <v>83</v>
      </c>
      <c r="M327" s="2" t="s">
        <v>89</v>
      </c>
      <c r="N327" s="2"/>
      <c r="O327" s="2"/>
      <c r="P327" s="2"/>
      <c r="Q327" s="2"/>
      <c r="R327" s="2"/>
      <c r="S327" s="2"/>
      <c r="T327" s="2"/>
      <c r="U327" s="2"/>
      <c r="V327" s="2"/>
      <c r="W327" s="2"/>
      <c r="X327" s="2"/>
      <c r="Y327" s="2"/>
      <c r="Z327" s="2"/>
      <c r="AA327" s="2"/>
    </row>
    <row r="328" customFormat="false" ht="15.75" hidden="false" customHeight="false" outlineLevel="0" collapsed="false">
      <c r="A328" s="2"/>
      <c r="B328" s="2" t="s">
        <v>69</v>
      </c>
      <c r="C328" s="2" t="s">
        <v>83</v>
      </c>
      <c r="D328" s="2" t="s">
        <v>66</v>
      </c>
      <c r="E328" s="2" t="s">
        <v>93</v>
      </c>
      <c r="F328" s="2" t="s">
        <v>78</v>
      </c>
      <c r="G328" s="2"/>
      <c r="H328" s="2"/>
      <c r="I328" s="2" t="s">
        <v>93</v>
      </c>
      <c r="J328" s="2" t="s">
        <v>93</v>
      </c>
      <c r="K328" s="2" t="s">
        <v>69</v>
      </c>
      <c r="L328" s="2" t="s">
        <v>83</v>
      </c>
      <c r="M328" s="2" t="s">
        <v>81</v>
      </c>
      <c r="N328" s="2"/>
      <c r="O328" s="2"/>
      <c r="P328" s="2"/>
      <c r="Q328" s="2"/>
      <c r="R328" s="2"/>
      <c r="S328" s="2"/>
      <c r="T328" s="2"/>
      <c r="U328" s="2"/>
      <c r="V328" s="2"/>
      <c r="W328" s="2"/>
      <c r="X328" s="2"/>
      <c r="Y328" s="2"/>
      <c r="Z328" s="2"/>
      <c r="AA328" s="2"/>
    </row>
    <row r="329" customFormat="false" ht="15.75" hidden="false" customHeight="false" outlineLevel="0" collapsed="false">
      <c r="A329" s="2"/>
      <c r="B329" s="2" t="s">
        <v>75</v>
      </c>
      <c r="C329" s="2" t="s">
        <v>89</v>
      </c>
      <c r="D329" s="2" t="s">
        <v>78</v>
      </c>
      <c r="E329" s="2" t="s">
        <v>96</v>
      </c>
      <c r="F329" s="2" t="s">
        <v>81</v>
      </c>
      <c r="G329" s="2"/>
      <c r="H329" s="2"/>
      <c r="I329" s="2" t="s">
        <v>93</v>
      </c>
      <c r="J329" s="2" t="s">
        <v>93</v>
      </c>
      <c r="K329" s="2" t="s">
        <v>93</v>
      </c>
      <c r="L329" s="2" t="s">
        <v>78</v>
      </c>
      <c r="M329" s="2" t="s">
        <v>81</v>
      </c>
      <c r="N329" s="2"/>
      <c r="O329" s="2"/>
      <c r="P329" s="2"/>
      <c r="Q329" s="2"/>
      <c r="R329" s="2"/>
      <c r="S329" s="2"/>
      <c r="T329" s="2"/>
      <c r="U329" s="2"/>
      <c r="V329" s="2"/>
      <c r="W329" s="2"/>
      <c r="X329" s="2"/>
      <c r="Y329" s="2"/>
      <c r="Z329" s="2"/>
      <c r="AA329" s="2"/>
    </row>
    <row r="330" customFormat="false" ht="15.75" hidden="false" customHeight="false" outlineLevel="0" collapsed="false">
      <c r="A330" s="2"/>
      <c r="B330" s="2" t="s">
        <v>81</v>
      </c>
      <c r="C330" s="2" t="s">
        <v>96</v>
      </c>
      <c r="D330" s="2" t="s">
        <v>93</v>
      </c>
      <c r="E330" s="2" t="s">
        <v>89</v>
      </c>
      <c r="F330" s="2" t="s">
        <v>83</v>
      </c>
      <c r="G330" s="2"/>
      <c r="H330" s="2"/>
      <c r="I330" s="2" t="s">
        <v>93</v>
      </c>
      <c r="J330" s="2" t="s">
        <v>93</v>
      </c>
      <c r="K330" s="2" t="s">
        <v>93</v>
      </c>
      <c r="L330" s="2" t="s">
        <v>78</v>
      </c>
      <c r="M330" s="2" t="s">
        <v>81</v>
      </c>
      <c r="N330" s="2"/>
      <c r="O330" s="2"/>
      <c r="P330" s="2"/>
      <c r="Q330" s="2"/>
      <c r="R330" s="2"/>
      <c r="S330" s="2"/>
      <c r="T330" s="2"/>
      <c r="U330" s="2"/>
      <c r="V330" s="2"/>
      <c r="W330" s="2"/>
      <c r="X330" s="2"/>
      <c r="Y330" s="2"/>
      <c r="Z330" s="2"/>
      <c r="AA330" s="2"/>
    </row>
    <row r="331" customFormat="false" ht="15.75" hidden="false" customHeight="false" outlineLevel="0" collapsed="false">
      <c r="A331" s="2"/>
      <c r="B331" s="2" t="s">
        <v>72</v>
      </c>
      <c r="C331" s="2" t="s">
        <v>149</v>
      </c>
      <c r="D331" s="2" t="s">
        <v>81</v>
      </c>
      <c r="E331" s="2" t="s">
        <v>89</v>
      </c>
      <c r="F331" s="2" t="s">
        <v>147</v>
      </c>
      <c r="G331" s="2"/>
      <c r="H331" s="2"/>
      <c r="I331" s="2" t="s">
        <v>93</v>
      </c>
      <c r="J331" s="2" t="s">
        <v>81</v>
      </c>
      <c r="K331" s="2" t="s">
        <v>93</v>
      </c>
      <c r="L331" s="2" t="s">
        <v>78</v>
      </c>
      <c r="M331" s="2" t="s">
        <v>81</v>
      </c>
      <c r="N331" s="2"/>
      <c r="O331" s="2"/>
      <c r="P331" s="2"/>
      <c r="Q331" s="2"/>
      <c r="R331" s="2"/>
      <c r="S331" s="2"/>
      <c r="T331" s="2"/>
      <c r="U331" s="2"/>
      <c r="V331" s="2"/>
      <c r="W331" s="2"/>
      <c r="X331" s="2"/>
      <c r="Y331" s="2"/>
      <c r="Z331" s="2"/>
      <c r="AA331" s="2"/>
    </row>
    <row r="332" customFormat="false" ht="15.75" hidden="false" customHeight="false" outlineLevel="0" collapsed="false">
      <c r="A332" s="2"/>
      <c r="B332" s="2" t="s">
        <v>69</v>
      </c>
      <c r="C332" s="2" t="s">
        <v>83</v>
      </c>
      <c r="D332" s="2" t="s">
        <v>75</v>
      </c>
      <c r="E332" s="2" t="s">
        <v>78</v>
      </c>
      <c r="F332" s="2" t="s">
        <v>96</v>
      </c>
      <c r="G332" s="2"/>
      <c r="H332" s="2"/>
      <c r="I332" s="2" t="s">
        <v>75</v>
      </c>
      <c r="J332" s="2" t="s">
        <v>81</v>
      </c>
      <c r="K332" s="2" t="s">
        <v>93</v>
      </c>
      <c r="L332" s="2" t="s">
        <v>78</v>
      </c>
      <c r="M332" s="2" t="s">
        <v>63</v>
      </c>
      <c r="N332" s="2"/>
      <c r="O332" s="2"/>
      <c r="P332" s="2"/>
      <c r="Q332" s="2"/>
      <c r="R332" s="2"/>
      <c r="S332" s="2"/>
      <c r="T332" s="2"/>
      <c r="U332" s="2"/>
      <c r="V332" s="2"/>
      <c r="W332" s="2"/>
      <c r="X332" s="2"/>
      <c r="Y332" s="2"/>
      <c r="Z332" s="2"/>
      <c r="AA332" s="2"/>
    </row>
    <row r="333" customFormat="false" ht="15.75" hidden="false" customHeight="false" outlineLevel="0" collapsed="false">
      <c r="A333" s="2"/>
      <c r="B333" s="2" t="s">
        <v>78</v>
      </c>
      <c r="C333" s="2" t="s">
        <v>83</v>
      </c>
      <c r="D333" s="2" t="s">
        <v>72</v>
      </c>
      <c r="E333" s="2" t="s">
        <v>83</v>
      </c>
      <c r="F333" s="2" t="s">
        <v>89</v>
      </c>
      <c r="G333" s="2"/>
      <c r="H333" s="2"/>
      <c r="I333" s="2" t="s">
        <v>75</v>
      </c>
      <c r="J333" s="2" t="s">
        <v>81</v>
      </c>
      <c r="K333" s="2" t="s">
        <v>96</v>
      </c>
      <c r="L333" s="2" t="s">
        <v>75</v>
      </c>
      <c r="M333" s="2" t="s">
        <v>63</v>
      </c>
      <c r="N333" s="2"/>
      <c r="O333" s="2"/>
      <c r="P333" s="2"/>
      <c r="Q333" s="2"/>
      <c r="R333" s="2"/>
      <c r="S333" s="2"/>
      <c r="T333" s="2"/>
      <c r="U333" s="2"/>
      <c r="V333" s="2"/>
      <c r="W333" s="2"/>
      <c r="X333" s="2"/>
      <c r="Y333" s="2"/>
      <c r="Z333" s="2"/>
      <c r="AA333" s="2"/>
    </row>
    <row r="334" customFormat="false" ht="15.75" hidden="false" customHeight="false" outlineLevel="0" collapsed="false">
      <c r="A334" s="2"/>
      <c r="B334" s="2" t="s">
        <v>63</v>
      </c>
      <c r="C334" s="2" t="s">
        <v>96</v>
      </c>
      <c r="D334" s="2" t="s">
        <v>69</v>
      </c>
      <c r="E334" s="2" t="s">
        <v>72</v>
      </c>
      <c r="F334" s="2" t="s">
        <v>89</v>
      </c>
      <c r="G334" s="2"/>
      <c r="H334" s="2"/>
      <c r="I334" s="2" t="s">
        <v>75</v>
      </c>
      <c r="J334" s="2" t="s">
        <v>81</v>
      </c>
      <c r="K334" s="2" t="s">
        <v>96</v>
      </c>
      <c r="L334" s="2" t="s">
        <v>75</v>
      </c>
      <c r="M334" s="2" t="s">
        <v>63</v>
      </c>
      <c r="N334" s="2"/>
      <c r="O334" s="2"/>
      <c r="P334" s="2"/>
      <c r="Q334" s="2"/>
      <c r="R334" s="2"/>
      <c r="S334" s="2"/>
      <c r="T334" s="2"/>
      <c r="U334" s="2"/>
      <c r="V334" s="2"/>
      <c r="W334" s="2"/>
      <c r="X334" s="2"/>
      <c r="Y334" s="2"/>
      <c r="Z334" s="2"/>
      <c r="AA334" s="2"/>
    </row>
    <row r="335" customFormat="false" ht="15.75" hidden="false" customHeight="false" outlineLevel="0" collapsed="false">
      <c r="A335" s="2"/>
      <c r="B335" s="2" t="s">
        <v>78</v>
      </c>
      <c r="C335" s="2" t="s">
        <v>63</v>
      </c>
      <c r="D335" s="2" t="s">
        <v>75</v>
      </c>
      <c r="E335" s="2" t="s">
        <v>75</v>
      </c>
      <c r="F335" s="2" t="s">
        <v>72</v>
      </c>
      <c r="G335" s="2"/>
      <c r="H335" s="2"/>
      <c r="I335" s="2" t="s">
        <v>75</v>
      </c>
      <c r="J335" s="2" t="s">
        <v>93</v>
      </c>
      <c r="K335" s="2" t="s">
        <v>96</v>
      </c>
      <c r="L335" s="2" t="s">
        <v>75</v>
      </c>
      <c r="M335" s="2" t="s">
        <v>63</v>
      </c>
      <c r="N335" s="2"/>
      <c r="O335" s="2"/>
      <c r="P335" s="2"/>
      <c r="Q335" s="2"/>
      <c r="R335" s="2"/>
      <c r="S335" s="2"/>
      <c r="T335" s="2"/>
      <c r="U335" s="2"/>
      <c r="V335" s="2"/>
      <c r="W335" s="2"/>
      <c r="X335" s="2"/>
      <c r="Y335" s="2"/>
      <c r="Z335" s="2"/>
      <c r="AA335" s="2"/>
    </row>
    <row r="336" customFormat="false" ht="15.75" hidden="false" customHeight="false" outlineLevel="0" collapsed="false">
      <c r="A336" s="2"/>
      <c r="B336" s="2" t="s">
        <v>83</v>
      </c>
      <c r="C336" s="2" t="s">
        <v>78</v>
      </c>
      <c r="D336" s="2" t="s">
        <v>83</v>
      </c>
      <c r="E336" s="2" t="s">
        <v>72</v>
      </c>
      <c r="F336" s="2" t="s">
        <v>69</v>
      </c>
      <c r="G336" s="2"/>
      <c r="H336" s="2"/>
      <c r="I336" s="2" t="s">
        <v>89</v>
      </c>
      <c r="J336" s="2" t="s">
        <v>93</v>
      </c>
      <c r="K336" s="2" t="s">
        <v>96</v>
      </c>
      <c r="L336" s="2" t="s">
        <v>75</v>
      </c>
      <c r="M336" s="2" t="s">
        <v>83</v>
      </c>
      <c r="N336" s="2"/>
      <c r="O336" s="2"/>
      <c r="P336" s="2"/>
      <c r="Q336" s="2"/>
      <c r="R336" s="2"/>
      <c r="S336" s="2"/>
      <c r="T336" s="2"/>
      <c r="U336" s="2"/>
      <c r="V336" s="2"/>
      <c r="W336" s="2"/>
      <c r="X336" s="2"/>
      <c r="Y336" s="2"/>
      <c r="Z336" s="2"/>
      <c r="AA336" s="2"/>
    </row>
    <row r="337" customFormat="false" ht="15.75" hidden="false" customHeight="false" outlineLevel="0" collapsed="false">
      <c r="A337" s="2"/>
      <c r="B337" s="2" t="s">
        <v>89</v>
      </c>
      <c r="C337" s="2" t="s">
        <v>93</v>
      </c>
      <c r="D337" s="2" t="s">
        <v>69</v>
      </c>
      <c r="E337" s="2" t="s">
        <v>89</v>
      </c>
      <c r="F337" s="2" t="s">
        <v>96</v>
      </c>
      <c r="G337" s="2"/>
      <c r="H337" s="2"/>
      <c r="I337" s="2" t="s">
        <v>89</v>
      </c>
      <c r="J337" s="2" t="s">
        <v>93</v>
      </c>
      <c r="K337" s="2" t="s">
        <v>89</v>
      </c>
      <c r="L337" s="2" t="s">
        <v>93</v>
      </c>
      <c r="M337" s="2" t="s">
        <v>83</v>
      </c>
      <c r="N337" s="2"/>
      <c r="O337" s="2"/>
      <c r="P337" s="2"/>
      <c r="Q337" s="2"/>
      <c r="R337" s="2"/>
      <c r="S337" s="2"/>
      <c r="T337" s="2"/>
      <c r="U337" s="2"/>
      <c r="V337" s="2"/>
      <c r="W337" s="2"/>
      <c r="X337" s="2"/>
      <c r="Y337" s="2"/>
      <c r="Z337" s="2"/>
      <c r="AA337" s="2"/>
    </row>
    <row r="338" customFormat="false" ht="15.75" hidden="false" customHeight="false" outlineLevel="0" collapsed="false">
      <c r="A338" s="2"/>
      <c r="B338" s="2" t="s">
        <v>96</v>
      </c>
      <c r="C338" s="2" t="s">
        <v>83</v>
      </c>
      <c r="D338" s="2" t="s">
        <v>147</v>
      </c>
      <c r="E338" s="2" t="s">
        <v>78</v>
      </c>
      <c r="F338" s="2" t="s">
        <v>96</v>
      </c>
      <c r="G338" s="2"/>
      <c r="H338" s="2"/>
      <c r="I338" s="2" t="s">
        <v>89</v>
      </c>
      <c r="J338" s="2" t="s">
        <v>93</v>
      </c>
      <c r="K338" s="2" t="s">
        <v>89</v>
      </c>
      <c r="L338" s="2" t="s">
        <v>93</v>
      </c>
      <c r="M338" s="2" t="s">
        <v>83</v>
      </c>
      <c r="N338" s="2"/>
      <c r="O338" s="2"/>
      <c r="P338" s="2"/>
      <c r="Q338" s="2"/>
      <c r="R338" s="2"/>
      <c r="S338" s="2"/>
      <c r="T338" s="2"/>
      <c r="U338" s="2"/>
      <c r="V338" s="2"/>
      <c r="W338" s="2"/>
      <c r="X338" s="2"/>
      <c r="Y338" s="2"/>
      <c r="Z338" s="2"/>
      <c r="AA338" s="2"/>
    </row>
    <row r="339" customFormat="false" ht="15.75" hidden="false" customHeight="false" outlineLevel="0" collapsed="false">
      <c r="A339" s="2"/>
      <c r="B339" s="2" t="s">
        <v>96</v>
      </c>
      <c r="C339" s="2" t="s">
        <v>83</v>
      </c>
      <c r="D339" s="2" t="s">
        <v>83</v>
      </c>
      <c r="E339" s="2" t="s">
        <v>63</v>
      </c>
      <c r="F339" s="2" t="s">
        <v>81</v>
      </c>
      <c r="G339" s="2"/>
      <c r="H339" s="2"/>
      <c r="I339" s="2" t="s">
        <v>89</v>
      </c>
      <c r="J339" s="2" t="s">
        <v>96</v>
      </c>
      <c r="K339" s="2" t="s">
        <v>89</v>
      </c>
      <c r="L339" s="2" t="s">
        <v>149</v>
      </c>
      <c r="M339" s="2" t="s">
        <v>83</v>
      </c>
      <c r="N339" s="2"/>
      <c r="O339" s="2"/>
      <c r="P339" s="2"/>
      <c r="Q339" s="2"/>
      <c r="R339" s="2"/>
      <c r="S339" s="2"/>
      <c r="T339" s="2"/>
      <c r="U339" s="2"/>
      <c r="V339" s="2"/>
      <c r="W339" s="2"/>
      <c r="X339" s="2"/>
      <c r="Y339" s="2"/>
      <c r="Z339" s="2"/>
      <c r="AA339" s="2"/>
    </row>
    <row r="340" customFormat="false" ht="15.75" hidden="false" customHeight="false" outlineLevel="0" collapsed="false">
      <c r="A340" s="2"/>
      <c r="B340" s="2" t="s">
        <v>96</v>
      </c>
      <c r="C340" s="2" t="s">
        <v>69</v>
      </c>
      <c r="D340" s="2" t="s">
        <v>93</v>
      </c>
      <c r="E340" s="2" t="s">
        <v>83</v>
      </c>
      <c r="F340" s="2" t="s">
        <v>96</v>
      </c>
      <c r="G340" s="2"/>
      <c r="H340" s="2"/>
      <c r="I340" s="2" t="s">
        <v>72</v>
      </c>
      <c r="J340" s="2" t="s">
        <v>96</v>
      </c>
      <c r="K340" s="2" t="s">
        <v>89</v>
      </c>
      <c r="L340" s="2" t="s">
        <v>93</v>
      </c>
      <c r="M340" s="2" t="s">
        <v>75</v>
      </c>
      <c r="N340" s="2"/>
      <c r="O340" s="2"/>
      <c r="P340" s="2"/>
      <c r="Q340" s="2"/>
      <c r="R340" s="2"/>
      <c r="S340" s="2"/>
      <c r="T340" s="2"/>
      <c r="U340" s="2"/>
      <c r="V340" s="2"/>
      <c r="W340" s="2"/>
      <c r="X340" s="2"/>
      <c r="Y340" s="2"/>
      <c r="Z340" s="2"/>
      <c r="AA340" s="2"/>
    </row>
    <row r="341" customFormat="false" ht="15.75" hidden="false" customHeight="false" outlineLevel="0" collapsed="false">
      <c r="A341" s="2"/>
      <c r="B341" s="2" t="s">
        <v>66</v>
      </c>
      <c r="C341" s="2" t="s">
        <v>72</v>
      </c>
      <c r="D341" s="2" t="s">
        <v>89</v>
      </c>
      <c r="E341" s="2" t="s">
        <v>66</v>
      </c>
      <c r="F341" s="2" t="s">
        <v>83</v>
      </c>
      <c r="G341" s="2"/>
      <c r="H341" s="2"/>
      <c r="I341" s="2" t="s">
        <v>72</v>
      </c>
      <c r="J341" s="2" t="s">
        <v>96</v>
      </c>
      <c r="K341" s="2" t="s">
        <v>89</v>
      </c>
      <c r="L341" s="2" t="s">
        <v>93</v>
      </c>
      <c r="M341" s="2" t="s">
        <v>75</v>
      </c>
      <c r="N341" s="2"/>
      <c r="O341" s="2"/>
      <c r="P341" s="2"/>
      <c r="Q341" s="2"/>
      <c r="R341" s="2"/>
      <c r="S341" s="2"/>
      <c r="T341" s="2"/>
      <c r="U341" s="2"/>
      <c r="V341" s="2"/>
      <c r="W341" s="2"/>
      <c r="X341" s="2"/>
      <c r="Y341" s="2"/>
      <c r="Z341" s="2"/>
      <c r="AA341" s="2"/>
    </row>
    <row r="342" customFormat="false" ht="15.75" hidden="false" customHeight="false" outlineLevel="0" collapsed="false">
      <c r="A342" s="2"/>
      <c r="B342" s="2" t="s">
        <v>63</v>
      </c>
      <c r="C342" s="2" t="s">
        <v>89</v>
      </c>
      <c r="D342" s="2" t="s">
        <v>81</v>
      </c>
      <c r="E342" s="2" t="s">
        <v>75</v>
      </c>
      <c r="F342" s="2" t="s">
        <v>147</v>
      </c>
      <c r="G342" s="2"/>
      <c r="H342" s="2"/>
      <c r="I342" s="2" t="s">
        <v>72</v>
      </c>
      <c r="J342" s="2" t="s">
        <v>96</v>
      </c>
      <c r="K342" s="2" t="s">
        <v>89</v>
      </c>
      <c r="L342" s="2" t="s">
        <v>69</v>
      </c>
      <c r="M342" s="2" t="s">
        <v>75</v>
      </c>
      <c r="N342" s="2"/>
      <c r="O342" s="2"/>
      <c r="P342" s="2"/>
      <c r="Q342" s="2"/>
      <c r="R342" s="2"/>
      <c r="S342" s="2"/>
      <c r="T342" s="2"/>
      <c r="U342" s="2"/>
      <c r="V342" s="2"/>
      <c r="W342" s="2"/>
      <c r="X342" s="2"/>
      <c r="Y342" s="2"/>
      <c r="Z342" s="2"/>
      <c r="AA342" s="2"/>
    </row>
    <row r="343" customFormat="false" ht="15.75" hidden="false" customHeight="false" outlineLevel="0" collapsed="false">
      <c r="A343" s="2"/>
      <c r="B343" s="2" t="s">
        <v>93</v>
      </c>
      <c r="C343" s="2" t="s">
        <v>96</v>
      </c>
      <c r="D343" s="2" t="s">
        <v>81</v>
      </c>
      <c r="E343" s="2" t="s">
        <v>78</v>
      </c>
      <c r="F343" s="2" t="s">
        <v>96</v>
      </c>
      <c r="G343" s="2"/>
      <c r="H343" s="2"/>
      <c r="I343" s="2" t="s">
        <v>72</v>
      </c>
      <c r="J343" s="2" t="s">
        <v>69</v>
      </c>
      <c r="K343" s="2" t="s">
        <v>89</v>
      </c>
      <c r="L343" s="2" t="s">
        <v>69</v>
      </c>
      <c r="M343" s="2" t="s">
        <v>75</v>
      </c>
      <c r="N343" s="2"/>
      <c r="O343" s="2"/>
      <c r="P343" s="2"/>
      <c r="Q343" s="2"/>
      <c r="R343" s="2"/>
      <c r="S343" s="2"/>
      <c r="T343" s="2"/>
      <c r="U343" s="2"/>
      <c r="V343" s="2"/>
      <c r="W343" s="2"/>
      <c r="X343" s="2"/>
      <c r="Y343" s="2"/>
      <c r="Z343" s="2"/>
      <c r="AA343" s="2"/>
    </row>
    <row r="344" customFormat="false" ht="15.75" hidden="false" customHeight="false" outlineLevel="0" collapsed="false">
      <c r="A344" s="2"/>
      <c r="B344" s="2" t="s">
        <v>93</v>
      </c>
      <c r="C344" s="2" t="s">
        <v>75</v>
      </c>
      <c r="D344" s="2" t="s">
        <v>78</v>
      </c>
      <c r="E344" s="2" t="s">
        <v>69</v>
      </c>
      <c r="F344" s="2" t="s">
        <v>96</v>
      </c>
      <c r="G344" s="2"/>
      <c r="H344" s="2"/>
      <c r="I344" s="2" t="s">
        <v>96</v>
      </c>
      <c r="J344" s="2" t="s">
        <v>69</v>
      </c>
      <c r="K344" s="2" t="s">
        <v>89</v>
      </c>
      <c r="L344" s="2" t="s">
        <v>69</v>
      </c>
      <c r="M344" s="2" t="s">
        <v>93</v>
      </c>
      <c r="N344" s="2"/>
      <c r="O344" s="2"/>
      <c r="P344" s="2"/>
      <c r="Q344" s="2"/>
      <c r="R344" s="2"/>
      <c r="S344" s="2"/>
      <c r="T344" s="2"/>
      <c r="U344" s="2"/>
      <c r="V344" s="2"/>
      <c r="W344" s="2"/>
      <c r="X344" s="2"/>
      <c r="Y344" s="2"/>
      <c r="Z344" s="2"/>
      <c r="AA344" s="2"/>
    </row>
    <row r="345" customFormat="false" ht="15.75" hidden="false" customHeight="false" outlineLevel="0" collapsed="false">
      <c r="A345" s="2"/>
      <c r="B345" s="2" t="s">
        <v>75</v>
      </c>
      <c r="C345" s="2" t="s">
        <v>63</v>
      </c>
      <c r="D345" s="2" t="s">
        <v>78</v>
      </c>
      <c r="E345" s="2" t="s">
        <v>93</v>
      </c>
      <c r="F345" s="2" t="s">
        <v>72</v>
      </c>
      <c r="G345" s="2"/>
      <c r="H345" s="2"/>
      <c r="I345" s="2" t="s">
        <v>96</v>
      </c>
      <c r="J345" s="2" t="s">
        <v>69</v>
      </c>
      <c r="K345" s="2" t="s">
        <v>69</v>
      </c>
      <c r="L345" s="2" t="s">
        <v>69</v>
      </c>
      <c r="M345" s="2" t="s">
        <v>93</v>
      </c>
      <c r="N345" s="2"/>
      <c r="O345" s="2"/>
      <c r="P345" s="2"/>
      <c r="Q345" s="2"/>
      <c r="R345" s="2"/>
      <c r="S345" s="2"/>
      <c r="T345" s="2"/>
      <c r="U345" s="2"/>
      <c r="V345" s="2"/>
      <c r="W345" s="2"/>
      <c r="X345" s="2"/>
      <c r="Y345" s="2"/>
      <c r="Z345" s="2"/>
      <c r="AA345" s="2"/>
    </row>
    <row r="346" customFormat="false" ht="15.75" hidden="false" customHeight="false" outlineLevel="0" collapsed="false">
      <c r="A346" s="2"/>
      <c r="B346" s="2" t="s">
        <v>89</v>
      </c>
      <c r="C346" s="2" t="s">
        <v>89</v>
      </c>
      <c r="D346" s="2" t="s">
        <v>75</v>
      </c>
      <c r="E346" s="2" t="s">
        <v>72</v>
      </c>
      <c r="F346" s="2" t="s">
        <v>81</v>
      </c>
      <c r="G346" s="2"/>
      <c r="H346" s="2"/>
      <c r="I346" s="2" t="s">
        <v>96</v>
      </c>
      <c r="J346" s="2" t="s">
        <v>69</v>
      </c>
      <c r="K346" s="2" t="s">
        <v>69</v>
      </c>
      <c r="L346" s="2" t="s">
        <v>89</v>
      </c>
      <c r="M346" s="2" t="s">
        <v>93</v>
      </c>
      <c r="N346" s="2"/>
      <c r="O346" s="2"/>
      <c r="P346" s="2"/>
      <c r="Q346" s="2"/>
      <c r="R346" s="2"/>
      <c r="S346" s="2"/>
      <c r="T346" s="2"/>
      <c r="U346" s="2"/>
      <c r="V346" s="2"/>
      <c r="W346" s="2"/>
      <c r="X346" s="2"/>
      <c r="Y346" s="2"/>
      <c r="Z346" s="2"/>
      <c r="AA346" s="2"/>
    </row>
    <row r="347" customFormat="false" ht="15.75" hidden="false" customHeight="false" outlineLevel="0" collapsed="false">
      <c r="A347" s="2"/>
      <c r="B347" s="2" t="s">
        <v>96</v>
      </c>
      <c r="C347" s="2" t="s">
        <v>89</v>
      </c>
      <c r="D347" s="2" t="s">
        <v>69</v>
      </c>
      <c r="E347" s="2" t="s">
        <v>66</v>
      </c>
      <c r="F347" s="2" t="s">
        <v>63</v>
      </c>
      <c r="G347" s="2"/>
      <c r="H347" s="2"/>
      <c r="I347" s="2" t="s">
        <v>96</v>
      </c>
      <c r="J347" s="2" t="s">
        <v>69</v>
      </c>
      <c r="K347" s="2" t="s">
        <v>83</v>
      </c>
      <c r="L347" s="2" t="s">
        <v>89</v>
      </c>
      <c r="M347" s="2" t="s">
        <v>93</v>
      </c>
      <c r="N347" s="2"/>
      <c r="O347" s="2"/>
      <c r="P347" s="2"/>
      <c r="Q347" s="2"/>
      <c r="R347" s="2"/>
      <c r="S347" s="2"/>
      <c r="T347" s="2"/>
      <c r="U347" s="2"/>
      <c r="V347" s="2"/>
      <c r="W347" s="2"/>
      <c r="X347" s="2"/>
      <c r="Y347" s="2"/>
      <c r="Z347" s="2"/>
      <c r="AA347" s="2"/>
    </row>
    <row r="348" customFormat="false" ht="15.75" hidden="false" customHeight="false" outlineLevel="0" collapsed="false">
      <c r="A348" s="2"/>
      <c r="B348" s="2" t="s">
        <v>69</v>
      </c>
      <c r="C348" s="2" t="s">
        <v>81</v>
      </c>
      <c r="D348" s="2" t="s">
        <v>149</v>
      </c>
      <c r="E348" s="2" t="s">
        <v>93</v>
      </c>
      <c r="F348" s="2" t="s">
        <v>81</v>
      </c>
      <c r="G348" s="2"/>
      <c r="H348" s="2"/>
      <c r="I348" s="2" t="s">
        <v>78</v>
      </c>
      <c r="J348" s="2" t="s">
        <v>69</v>
      </c>
      <c r="K348" s="2" t="s">
        <v>83</v>
      </c>
      <c r="L348" s="2" t="s">
        <v>89</v>
      </c>
      <c r="M348" s="2" t="s">
        <v>78</v>
      </c>
      <c r="N348" s="2"/>
      <c r="O348" s="2"/>
      <c r="P348" s="2"/>
      <c r="Q348" s="2"/>
      <c r="R348" s="2"/>
      <c r="S348" s="2"/>
      <c r="T348" s="2"/>
      <c r="U348" s="2"/>
      <c r="V348" s="2"/>
      <c r="W348" s="2"/>
      <c r="X348" s="2"/>
      <c r="Y348" s="2"/>
      <c r="Z348" s="2"/>
      <c r="AA348" s="2"/>
    </row>
    <row r="349" customFormat="false" ht="15.75" hidden="false" customHeight="false" outlineLevel="0" collapsed="false">
      <c r="A349" s="2"/>
      <c r="B349" s="2" t="s">
        <v>147</v>
      </c>
      <c r="C349" s="2" t="s">
        <v>81</v>
      </c>
      <c r="D349" s="2" t="s">
        <v>81</v>
      </c>
      <c r="E349" s="2" t="s">
        <v>63</v>
      </c>
      <c r="F349" s="2" t="s">
        <v>72</v>
      </c>
      <c r="G349" s="2"/>
      <c r="H349" s="2"/>
      <c r="I349" s="2" t="s">
        <v>78</v>
      </c>
      <c r="J349" s="2" t="s">
        <v>69</v>
      </c>
      <c r="K349" s="2" t="s">
        <v>83</v>
      </c>
      <c r="L349" s="2" t="s">
        <v>89</v>
      </c>
      <c r="M349" s="2" t="s">
        <v>78</v>
      </c>
      <c r="N349" s="2"/>
      <c r="O349" s="2"/>
      <c r="P349" s="2"/>
      <c r="Q349" s="2"/>
      <c r="R349" s="2"/>
      <c r="S349" s="2"/>
      <c r="T349" s="2"/>
      <c r="U349" s="2"/>
      <c r="V349" s="2"/>
      <c r="W349" s="2"/>
      <c r="X349" s="2"/>
      <c r="Y349" s="2"/>
      <c r="Z349" s="2"/>
      <c r="AA349" s="2"/>
    </row>
    <row r="350" customFormat="false" ht="15.75" hidden="false" customHeight="false" outlineLevel="0" collapsed="false">
      <c r="A350" s="2"/>
      <c r="B350" s="2" t="s">
        <v>96</v>
      </c>
      <c r="C350" s="2" t="s">
        <v>81</v>
      </c>
      <c r="D350" s="2" t="s">
        <v>78</v>
      </c>
      <c r="E350" s="2" t="s">
        <v>96</v>
      </c>
      <c r="F350" s="2" t="s">
        <v>93</v>
      </c>
      <c r="G350" s="2"/>
      <c r="H350" s="2"/>
      <c r="I350" s="2" t="s">
        <v>78</v>
      </c>
      <c r="J350" s="2" t="s">
        <v>69</v>
      </c>
      <c r="K350" s="2" t="s">
        <v>83</v>
      </c>
      <c r="L350" s="2" t="s">
        <v>83</v>
      </c>
      <c r="M350" s="2" t="s">
        <v>78</v>
      </c>
      <c r="N350" s="2"/>
      <c r="O350" s="2"/>
      <c r="P350" s="2"/>
      <c r="Q350" s="2"/>
      <c r="R350" s="2"/>
      <c r="S350" s="2"/>
      <c r="T350" s="2"/>
      <c r="U350" s="2"/>
      <c r="V350" s="2"/>
      <c r="W350" s="2"/>
      <c r="X350" s="2"/>
      <c r="Y350" s="2"/>
      <c r="Z350" s="2"/>
      <c r="AA350" s="2"/>
    </row>
    <row r="351" customFormat="false" ht="15.75" hidden="false" customHeight="false" outlineLevel="0" collapsed="false">
      <c r="A351" s="2"/>
      <c r="B351" s="2" t="s">
        <v>63</v>
      </c>
      <c r="C351" s="2" t="s">
        <v>96</v>
      </c>
      <c r="D351" s="2" t="s">
        <v>96</v>
      </c>
      <c r="E351" s="2" t="s">
        <v>69</v>
      </c>
      <c r="F351" s="2" t="s">
        <v>75</v>
      </c>
      <c r="G351" s="2"/>
      <c r="H351" s="2"/>
      <c r="I351" s="2" t="s">
        <v>78</v>
      </c>
      <c r="J351" s="2" t="s">
        <v>93</v>
      </c>
      <c r="K351" s="2" t="s">
        <v>69</v>
      </c>
      <c r="L351" s="2" t="s">
        <v>149</v>
      </c>
      <c r="M351" s="2" t="s">
        <v>78</v>
      </c>
      <c r="N351" s="2"/>
      <c r="O351" s="2"/>
      <c r="P351" s="2"/>
      <c r="Q351" s="2"/>
      <c r="R351" s="2"/>
      <c r="S351" s="2"/>
      <c r="T351" s="2"/>
      <c r="U351" s="2"/>
      <c r="V351" s="2"/>
      <c r="W351" s="2"/>
      <c r="X351" s="2"/>
      <c r="Y351" s="2"/>
      <c r="Z351" s="2"/>
      <c r="AA351" s="2"/>
    </row>
    <row r="352" customFormat="false" ht="15.75" hidden="false" customHeight="false" outlineLevel="0" collapsed="false">
      <c r="A352" s="2"/>
      <c r="B352" s="2" t="s">
        <v>89</v>
      </c>
      <c r="C352" s="2" t="s">
        <v>78</v>
      </c>
      <c r="D352" s="2" t="s">
        <v>81</v>
      </c>
      <c r="E352" s="2" t="s">
        <v>81</v>
      </c>
      <c r="F352" s="2" t="s">
        <v>96</v>
      </c>
      <c r="G352" s="2"/>
      <c r="H352" s="2"/>
      <c r="I352" s="2" t="s">
        <v>72</v>
      </c>
      <c r="J352" s="2" t="s">
        <v>93</v>
      </c>
      <c r="K352" s="2" t="s">
        <v>69</v>
      </c>
      <c r="L352" s="2" t="s">
        <v>83</v>
      </c>
      <c r="M352" s="2" t="s">
        <v>93</v>
      </c>
      <c r="N352" s="2"/>
      <c r="O352" s="2"/>
      <c r="P352" s="2"/>
      <c r="Q352" s="2"/>
      <c r="R352" s="2"/>
      <c r="S352" s="2"/>
      <c r="T352" s="2"/>
      <c r="U352" s="2"/>
      <c r="V352" s="2"/>
      <c r="W352" s="2"/>
      <c r="X352" s="2"/>
      <c r="Y352" s="2"/>
      <c r="Z352" s="2"/>
      <c r="AA352" s="2"/>
    </row>
    <row r="353" customFormat="false" ht="15.75" hidden="false" customHeight="false" outlineLevel="0" collapsed="false">
      <c r="A353" s="2"/>
      <c r="B353" s="2" t="s">
        <v>69</v>
      </c>
      <c r="C353" s="2" t="s">
        <v>149</v>
      </c>
      <c r="D353" s="2" t="s">
        <v>96</v>
      </c>
      <c r="E353" s="2" t="s">
        <v>75</v>
      </c>
      <c r="F353" s="2" t="s">
        <v>96</v>
      </c>
      <c r="G353" s="2"/>
      <c r="H353" s="2"/>
      <c r="I353" s="2" t="s">
        <v>72</v>
      </c>
      <c r="J353" s="2" t="s">
        <v>93</v>
      </c>
      <c r="K353" s="2" t="s">
        <v>69</v>
      </c>
      <c r="L353" s="2" t="s">
        <v>83</v>
      </c>
      <c r="M353" s="2" t="s">
        <v>93</v>
      </c>
      <c r="N353" s="2"/>
      <c r="O353" s="2"/>
      <c r="P353" s="2"/>
      <c r="Q353" s="2"/>
      <c r="R353" s="2"/>
      <c r="S353" s="2"/>
      <c r="T353" s="2"/>
      <c r="U353" s="2"/>
      <c r="V353" s="2"/>
      <c r="W353" s="2"/>
      <c r="X353" s="2"/>
      <c r="Y353" s="2"/>
      <c r="Z353" s="2"/>
      <c r="AA353" s="2"/>
    </row>
    <row r="354" customFormat="false" ht="15.75" hidden="false" customHeight="false" outlineLevel="0" collapsed="false">
      <c r="A354" s="2"/>
      <c r="B354" s="2" t="s">
        <v>83</v>
      </c>
      <c r="C354" s="2" t="s">
        <v>83</v>
      </c>
      <c r="D354" s="2" t="s">
        <v>78</v>
      </c>
      <c r="E354" s="2" t="s">
        <v>93</v>
      </c>
      <c r="F354" s="2" t="s">
        <v>69</v>
      </c>
      <c r="G354" s="2"/>
      <c r="H354" s="2"/>
      <c r="I354" s="2" t="s">
        <v>72</v>
      </c>
      <c r="J354" s="2" t="s">
        <v>93</v>
      </c>
      <c r="K354" s="2" t="s">
        <v>69</v>
      </c>
      <c r="L354" s="2" t="s">
        <v>83</v>
      </c>
      <c r="M354" s="2" t="s">
        <v>93</v>
      </c>
      <c r="N354" s="2"/>
      <c r="O354" s="2"/>
      <c r="P354" s="2"/>
      <c r="Q354" s="2"/>
      <c r="R354" s="2"/>
      <c r="S354" s="2"/>
      <c r="T354" s="2"/>
      <c r="U354" s="2"/>
      <c r="V354" s="2"/>
      <c r="W354" s="2"/>
      <c r="X354" s="2"/>
      <c r="Y354" s="2"/>
      <c r="Z354" s="2"/>
      <c r="AA354" s="2"/>
    </row>
    <row r="355" customFormat="false" ht="15.75" hidden="false" customHeight="false" outlineLevel="0" collapsed="false">
      <c r="A355" s="2"/>
      <c r="B355" s="2" t="s">
        <v>63</v>
      </c>
      <c r="C355" s="2" t="s">
        <v>75</v>
      </c>
      <c r="D355" s="2" t="s">
        <v>69</v>
      </c>
      <c r="E355" s="2" t="s">
        <v>78</v>
      </c>
      <c r="F355" s="2" t="s">
        <v>69</v>
      </c>
      <c r="G355" s="2"/>
      <c r="H355" s="2"/>
      <c r="I355" s="2" t="s">
        <v>72</v>
      </c>
      <c r="J355" s="2" t="s">
        <v>72</v>
      </c>
      <c r="K355" s="2" t="s">
        <v>81</v>
      </c>
      <c r="L355" s="2" t="s">
        <v>83</v>
      </c>
      <c r="M355" s="2" t="s">
        <v>93</v>
      </c>
      <c r="N355" s="2"/>
      <c r="O355" s="2"/>
      <c r="P355" s="2"/>
      <c r="Q355" s="2"/>
      <c r="R355" s="2"/>
      <c r="S355" s="2"/>
      <c r="T355" s="2"/>
      <c r="U355" s="2"/>
      <c r="V355" s="2"/>
      <c r="W355" s="2"/>
      <c r="X355" s="2"/>
      <c r="Y355" s="2"/>
      <c r="Z355" s="2"/>
      <c r="AA355" s="2"/>
    </row>
    <row r="356" customFormat="false" ht="15.75" hidden="false" customHeight="false" outlineLevel="0" collapsed="false">
      <c r="A356" s="2"/>
      <c r="B356" s="2" t="s">
        <v>147</v>
      </c>
      <c r="C356" s="2" t="s">
        <v>89</v>
      </c>
      <c r="D356" s="2" t="s">
        <v>147</v>
      </c>
      <c r="E356" s="2" t="s">
        <v>69</v>
      </c>
      <c r="F356" s="2" t="s">
        <v>147</v>
      </c>
      <c r="G356" s="2"/>
      <c r="H356" s="2"/>
      <c r="I356" s="2" t="s">
        <v>96</v>
      </c>
      <c r="J356" s="2" t="s">
        <v>72</v>
      </c>
      <c r="K356" s="2" t="s">
        <v>81</v>
      </c>
      <c r="L356" s="2" t="s">
        <v>83</v>
      </c>
      <c r="M356" s="2" t="s">
        <v>75</v>
      </c>
      <c r="N356" s="2"/>
      <c r="O356" s="2"/>
      <c r="P356" s="2"/>
      <c r="Q356" s="2"/>
      <c r="R356" s="2"/>
      <c r="S356" s="2"/>
      <c r="T356" s="2"/>
      <c r="U356" s="2"/>
      <c r="V356" s="2"/>
      <c r="W356" s="2"/>
      <c r="X356" s="2"/>
      <c r="Y356" s="2"/>
      <c r="Z356" s="2"/>
      <c r="AA356" s="2"/>
    </row>
    <row r="357" customFormat="false" ht="15.75" hidden="false" customHeight="false" outlineLevel="0" collapsed="false">
      <c r="A357" s="2"/>
      <c r="B357" s="2" t="s">
        <v>96</v>
      </c>
      <c r="C357" s="2" t="s">
        <v>89</v>
      </c>
      <c r="D357" s="2" t="s">
        <v>72</v>
      </c>
      <c r="E357" s="2" t="s">
        <v>89</v>
      </c>
      <c r="F357" s="2" t="s">
        <v>75</v>
      </c>
      <c r="G357" s="2"/>
      <c r="H357" s="2"/>
      <c r="I357" s="2" t="s">
        <v>96</v>
      </c>
      <c r="J357" s="2" t="s">
        <v>72</v>
      </c>
      <c r="K357" s="2" t="s">
        <v>81</v>
      </c>
      <c r="L357" s="2" t="s">
        <v>83</v>
      </c>
      <c r="M357" s="2" t="s">
        <v>75</v>
      </c>
      <c r="N357" s="2"/>
      <c r="O357" s="2"/>
      <c r="P357" s="2"/>
      <c r="Q357" s="2"/>
      <c r="R357" s="2"/>
      <c r="S357" s="2"/>
      <c r="T357" s="2"/>
      <c r="U357" s="2"/>
      <c r="V357" s="2"/>
      <c r="W357" s="2"/>
      <c r="X357" s="2"/>
      <c r="Y357" s="2"/>
      <c r="Z357" s="2"/>
      <c r="AA357" s="2"/>
    </row>
    <row r="358" customFormat="false" ht="15.75" hidden="false" customHeight="false" outlineLevel="0" collapsed="false">
      <c r="A358" s="2"/>
      <c r="B358" s="2" t="s">
        <v>66</v>
      </c>
      <c r="C358" s="2" t="s">
        <v>81</v>
      </c>
      <c r="D358" s="2" t="s">
        <v>96</v>
      </c>
      <c r="E358" s="2" t="s">
        <v>149</v>
      </c>
      <c r="F358" s="2" t="s">
        <v>69</v>
      </c>
      <c r="G358" s="2"/>
      <c r="H358" s="2"/>
      <c r="I358" s="2" t="s">
        <v>96</v>
      </c>
      <c r="J358" s="2" t="s">
        <v>72</v>
      </c>
      <c r="K358" s="2" t="s">
        <v>81</v>
      </c>
      <c r="L358" s="2" t="s">
        <v>83</v>
      </c>
      <c r="M358" s="2" t="s">
        <v>75</v>
      </c>
      <c r="N358" s="2"/>
      <c r="O358" s="2"/>
      <c r="P358" s="2"/>
      <c r="Q358" s="2"/>
      <c r="R358" s="2"/>
      <c r="S358" s="2"/>
      <c r="T358" s="2"/>
      <c r="U358" s="2"/>
      <c r="V358" s="2"/>
      <c r="W358" s="2"/>
      <c r="X358" s="2"/>
      <c r="Y358" s="2"/>
      <c r="Z358" s="2"/>
      <c r="AA358" s="2"/>
    </row>
    <row r="359" customFormat="false" ht="15.75" hidden="false" customHeight="false" outlineLevel="0" collapsed="false">
      <c r="A359" s="2"/>
      <c r="B359" s="2" t="s">
        <v>78</v>
      </c>
      <c r="C359" s="2" t="s">
        <v>69</v>
      </c>
      <c r="D359" s="2" t="s">
        <v>93</v>
      </c>
      <c r="E359" s="2" t="s">
        <v>83</v>
      </c>
      <c r="F359" s="2" t="s">
        <v>83</v>
      </c>
      <c r="G359" s="2"/>
      <c r="H359" s="2"/>
      <c r="I359" s="2" t="s">
        <v>69</v>
      </c>
      <c r="J359" s="2" t="s">
        <v>96</v>
      </c>
      <c r="K359" s="2" t="s">
        <v>69</v>
      </c>
      <c r="L359" s="2" t="s">
        <v>83</v>
      </c>
      <c r="M359" s="2" t="s">
        <v>75</v>
      </c>
      <c r="N359" s="2"/>
      <c r="O359" s="2"/>
      <c r="P359" s="2"/>
      <c r="Q359" s="2"/>
      <c r="R359" s="2"/>
      <c r="S359" s="2"/>
      <c r="T359" s="2"/>
      <c r="U359" s="2"/>
      <c r="V359" s="2"/>
      <c r="W359" s="2"/>
      <c r="X359" s="2"/>
      <c r="Y359" s="2"/>
      <c r="Z359" s="2"/>
      <c r="AA359" s="2"/>
    </row>
    <row r="360" customFormat="false" ht="15.75" hidden="false" customHeight="false" outlineLevel="0" collapsed="false">
      <c r="A360" s="2"/>
      <c r="B360" s="2" t="s">
        <v>81</v>
      </c>
      <c r="C360" s="2" t="s">
        <v>93</v>
      </c>
      <c r="D360" s="2" t="s">
        <v>93</v>
      </c>
      <c r="E360" s="2" t="s">
        <v>96</v>
      </c>
      <c r="F360" s="2" t="s">
        <v>72</v>
      </c>
      <c r="G360" s="2"/>
      <c r="H360" s="2"/>
      <c r="I360" s="2" t="s">
        <v>69</v>
      </c>
      <c r="J360" s="2" t="s">
        <v>96</v>
      </c>
      <c r="K360" s="2" t="s">
        <v>69</v>
      </c>
      <c r="L360" s="2" t="s">
        <v>83</v>
      </c>
      <c r="M360" s="2" t="s">
        <v>96</v>
      </c>
      <c r="N360" s="2"/>
      <c r="O360" s="2"/>
      <c r="P360" s="2"/>
      <c r="Q360" s="2"/>
      <c r="R360" s="2"/>
      <c r="S360" s="2"/>
      <c r="T360" s="2"/>
      <c r="U360" s="2"/>
      <c r="V360" s="2"/>
      <c r="W360" s="2"/>
      <c r="X360" s="2"/>
      <c r="Y360" s="2"/>
      <c r="Z360" s="2"/>
      <c r="AA360" s="2"/>
    </row>
    <row r="361" customFormat="false" ht="15.75" hidden="false" customHeight="false" outlineLevel="0" collapsed="false">
      <c r="A361" s="2"/>
      <c r="B361" s="2" t="s">
        <v>89</v>
      </c>
      <c r="C361" s="2" t="s">
        <v>69</v>
      </c>
      <c r="D361" s="2" t="s">
        <v>75</v>
      </c>
      <c r="E361" s="2" t="s">
        <v>63</v>
      </c>
      <c r="F361" s="2" t="s">
        <v>81</v>
      </c>
      <c r="G361" s="2"/>
      <c r="H361" s="2"/>
      <c r="I361" s="2" t="s">
        <v>69</v>
      </c>
      <c r="J361" s="2" t="s">
        <v>96</v>
      </c>
      <c r="K361" s="2" t="s">
        <v>69</v>
      </c>
      <c r="L361" s="2" t="s">
        <v>83</v>
      </c>
      <c r="M361" s="2" t="s">
        <v>96</v>
      </c>
      <c r="N361" s="2"/>
      <c r="O361" s="2"/>
      <c r="P361" s="2"/>
      <c r="Q361" s="2"/>
      <c r="R361" s="2"/>
      <c r="S361" s="2"/>
      <c r="T361" s="2"/>
      <c r="U361" s="2"/>
      <c r="V361" s="2"/>
      <c r="W361" s="2"/>
      <c r="X361" s="2"/>
      <c r="Y361" s="2"/>
      <c r="Z361" s="2"/>
      <c r="AA361" s="2"/>
    </row>
    <row r="362" customFormat="false" ht="15.75" hidden="false" customHeight="false" outlineLevel="0" collapsed="false">
      <c r="A362" s="2"/>
      <c r="B362" s="2" t="s">
        <v>147</v>
      </c>
      <c r="C362" s="2" t="s">
        <v>63</v>
      </c>
      <c r="D362" s="2" t="s">
        <v>89</v>
      </c>
      <c r="E362" s="2" t="s">
        <v>66</v>
      </c>
      <c r="F362" s="2" t="s">
        <v>81</v>
      </c>
      <c r="G362" s="2"/>
      <c r="H362" s="2"/>
      <c r="I362" s="2" t="s">
        <v>69</v>
      </c>
      <c r="J362" s="2" t="s">
        <v>96</v>
      </c>
      <c r="K362" s="2" t="s">
        <v>69</v>
      </c>
      <c r="L362" s="2" t="s">
        <v>83</v>
      </c>
      <c r="M362" s="2" t="s">
        <v>96</v>
      </c>
      <c r="N362" s="2"/>
      <c r="O362" s="2"/>
      <c r="P362" s="2"/>
      <c r="Q362" s="2"/>
      <c r="R362" s="2"/>
      <c r="S362" s="2"/>
      <c r="T362" s="2"/>
      <c r="U362" s="2"/>
      <c r="V362" s="2"/>
      <c r="W362" s="2"/>
      <c r="X362" s="2"/>
      <c r="Y362" s="2"/>
      <c r="Z362" s="2"/>
      <c r="AA362" s="2"/>
    </row>
    <row r="363" customFormat="false" ht="15.75" hidden="false" customHeight="false" outlineLevel="0" collapsed="false">
      <c r="A363" s="2"/>
      <c r="B363" s="2" t="s">
        <v>75</v>
      </c>
      <c r="C363" s="2" t="s">
        <v>66</v>
      </c>
      <c r="D363" s="2" t="s">
        <v>69</v>
      </c>
      <c r="E363" s="2" t="s">
        <v>69</v>
      </c>
      <c r="F363" s="2" t="s">
        <v>66</v>
      </c>
      <c r="G363" s="2"/>
      <c r="H363" s="2"/>
      <c r="I363" s="2" t="s">
        <v>81</v>
      </c>
      <c r="J363" s="2" t="s">
        <v>78</v>
      </c>
      <c r="K363" s="2" t="s">
        <v>89</v>
      </c>
      <c r="L363" s="2" t="s">
        <v>81</v>
      </c>
      <c r="M363" s="2" t="s">
        <v>96</v>
      </c>
      <c r="N363" s="2"/>
      <c r="O363" s="2"/>
      <c r="P363" s="2"/>
      <c r="Q363" s="2"/>
      <c r="R363" s="2"/>
      <c r="S363" s="2"/>
      <c r="T363" s="2"/>
      <c r="U363" s="2"/>
      <c r="V363" s="2"/>
      <c r="W363" s="2"/>
      <c r="X363" s="2"/>
      <c r="Y363" s="2"/>
      <c r="Z363" s="2"/>
      <c r="AA363" s="2"/>
    </row>
    <row r="364" customFormat="false" ht="15.75" hidden="false" customHeight="false" outlineLevel="0" collapsed="false">
      <c r="A364" s="2"/>
      <c r="B364" s="2" t="s">
        <v>75</v>
      </c>
      <c r="C364" s="2" t="s">
        <v>81</v>
      </c>
      <c r="D364" s="2" t="s">
        <v>96</v>
      </c>
      <c r="E364" s="2" t="s">
        <v>93</v>
      </c>
      <c r="F364" s="2" t="s">
        <v>89</v>
      </c>
      <c r="G364" s="2"/>
      <c r="H364" s="2"/>
      <c r="I364" s="2" t="s">
        <v>81</v>
      </c>
      <c r="J364" s="2" t="s">
        <v>78</v>
      </c>
      <c r="K364" s="2" t="s">
        <v>89</v>
      </c>
      <c r="L364" s="2" t="s">
        <v>81</v>
      </c>
      <c r="M364" s="2" t="s">
        <v>81</v>
      </c>
      <c r="N364" s="2"/>
      <c r="O364" s="2"/>
      <c r="P364" s="2"/>
      <c r="Q364" s="2"/>
      <c r="R364" s="2"/>
      <c r="S364" s="2"/>
      <c r="T364" s="2"/>
      <c r="U364" s="2"/>
      <c r="V364" s="2"/>
      <c r="W364" s="2"/>
      <c r="X364" s="2"/>
      <c r="Y364" s="2"/>
      <c r="Z364" s="2"/>
      <c r="AA364" s="2"/>
    </row>
    <row r="365" customFormat="false" ht="15.75" hidden="false" customHeight="false" outlineLevel="0" collapsed="false">
      <c r="A365" s="2"/>
      <c r="B365" s="2" t="s">
        <v>78</v>
      </c>
      <c r="C365" s="2" t="s">
        <v>78</v>
      </c>
      <c r="D365" s="2" t="s">
        <v>96</v>
      </c>
      <c r="E365" s="2" t="s">
        <v>93</v>
      </c>
      <c r="F365" s="2" t="s">
        <v>66</v>
      </c>
      <c r="G365" s="2"/>
      <c r="H365" s="2"/>
      <c r="I365" s="2" t="s">
        <v>81</v>
      </c>
      <c r="J365" s="2" t="s">
        <v>78</v>
      </c>
      <c r="K365" s="2" t="s">
        <v>89</v>
      </c>
      <c r="L365" s="2" t="s">
        <v>81</v>
      </c>
      <c r="M365" s="2" t="s">
        <v>81</v>
      </c>
      <c r="N365" s="2"/>
      <c r="O365" s="2"/>
      <c r="P365" s="2"/>
      <c r="Q365" s="2"/>
      <c r="R365" s="2"/>
      <c r="S365" s="2"/>
      <c r="T365" s="2"/>
      <c r="U365" s="2"/>
      <c r="V365" s="2"/>
      <c r="W365" s="2"/>
      <c r="X365" s="2"/>
      <c r="Y365" s="2"/>
      <c r="Z365" s="2"/>
      <c r="AA365" s="2"/>
    </row>
    <row r="366" customFormat="false" ht="15.75" hidden="false" customHeight="false" outlineLevel="0" collapsed="false">
      <c r="A366" s="2"/>
      <c r="B366" s="2" t="s">
        <v>96</v>
      </c>
      <c r="C366" s="2" t="s">
        <v>81</v>
      </c>
      <c r="D366" s="2" t="s">
        <v>89</v>
      </c>
      <c r="E366" s="2" t="s">
        <v>83</v>
      </c>
      <c r="F366" s="2" t="s">
        <v>89</v>
      </c>
      <c r="G366" s="2"/>
      <c r="H366" s="2"/>
      <c r="I366" s="2" t="s">
        <v>81</v>
      </c>
      <c r="J366" s="2" t="s">
        <v>149</v>
      </c>
      <c r="K366" s="2" t="s">
        <v>89</v>
      </c>
      <c r="L366" s="2" t="s">
        <v>81</v>
      </c>
      <c r="M366" s="2" t="s">
        <v>81</v>
      </c>
      <c r="N366" s="2"/>
      <c r="O366" s="2"/>
      <c r="P366" s="2"/>
      <c r="Q366" s="2"/>
      <c r="R366" s="2"/>
      <c r="S366" s="2"/>
      <c r="T366" s="2"/>
      <c r="U366" s="2"/>
      <c r="V366" s="2"/>
      <c r="W366" s="2"/>
      <c r="X366" s="2"/>
      <c r="Y366" s="2"/>
      <c r="Z366" s="2"/>
      <c r="AA366" s="2"/>
    </row>
    <row r="367" customFormat="false" ht="15.75" hidden="false" customHeight="false" outlineLevel="0" collapsed="false">
      <c r="A367" s="2"/>
      <c r="B367" s="2" t="s">
        <v>66</v>
      </c>
      <c r="C367" s="2" t="s">
        <v>93</v>
      </c>
      <c r="D367" s="2" t="s">
        <v>78</v>
      </c>
      <c r="E367" s="2" t="s">
        <v>81</v>
      </c>
      <c r="F367" s="2" t="s">
        <v>81</v>
      </c>
      <c r="G367" s="2"/>
      <c r="H367" s="2"/>
      <c r="I367" s="2" t="s">
        <v>66</v>
      </c>
      <c r="J367" s="2" t="s">
        <v>78</v>
      </c>
      <c r="K367" s="2" t="s">
        <v>149</v>
      </c>
      <c r="L367" s="2" t="s">
        <v>149</v>
      </c>
      <c r="M367" s="2" t="s">
        <v>81</v>
      </c>
      <c r="N367" s="2"/>
      <c r="O367" s="2"/>
      <c r="P367" s="2"/>
      <c r="Q367" s="2"/>
      <c r="R367" s="2"/>
      <c r="S367" s="2"/>
      <c r="T367" s="2"/>
      <c r="U367" s="2"/>
      <c r="V367" s="2"/>
      <c r="W367" s="2"/>
      <c r="X367" s="2"/>
      <c r="Y367" s="2"/>
      <c r="Z367" s="2"/>
      <c r="AA367" s="2"/>
    </row>
    <row r="368" customFormat="false" ht="15.75" hidden="false" customHeight="false" outlineLevel="0" collapsed="false">
      <c r="A368" s="2"/>
      <c r="B368" s="2" t="s">
        <v>78</v>
      </c>
      <c r="C368" s="2" t="s">
        <v>63</v>
      </c>
      <c r="D368" s="2" t="s">
        <v>78</v>
      </c>
      <c r="E368" s="2" t="s">
        <v>69</v>
      </c>
      <c r="F368" s="2" t="s">
        <v>75</v>
      </c>
      <c r="G368" s="2"/>
      <c r="H368" s="2"/>
      <c r="I368" s="2" t="s">
        <v>66</v>
      </c>
      <c r="J368" s="2" t="s">
        <v>78</v>
      </c>
      <c r="K368" s="2" t="s">
        <v>93</v>
      </c>
      <c r="L368" s="2" t="s">
        <v>72</v>
      </c>
      <c r="M368" s="2" t="s">
        <v>81</v>
      </c>
      <c r="N368" s="2"/>
      <c r="O368" s="2"/>
      <c r="P368" s="2"/>
      <c r="Q368" s="2"/>
      <c r="R368" s="2"/>
      <c r="S368" s="2"/>
      <c r="T368" s="2"/>
      <c r="U368" s="2"/>
      <c r="V368" s="2"/>
      <c r="W368" s="2"/>
      <c r="X368" s="2"/>
      <c r="Y368" s="2"/>
      <c r="Z368" s="2"/>
      <c r="AA368" s="2"/>
    </row>
    <row r="369" customFormat="false" ht="15.75" hidden="false" customHeight="false" outlineLevel="0" collapsed="false">
      <c r="A369" s="2"/>
      <c r="B369" s="2" t="s">
        <v>89</v>
      </c>
      <c r="C369" s="2" t="s">
        <v>63</v>
      </c>
      <c r="D369" s="2" t="s">
        <v>83</v>
      </c>
      <c r="E369" s="2" t="s">
        <v>75</v>
      </c>
      <c r="F369" s="2" t="s">
        <v>72</v>
      </c>
      <c r="G369" s="2"/>
      <c r="H369" s="2"/>
      <c r="I369" s="2" t="s">
        <v>66</v>
      </c>
      <c r="J369" s="2" t="s">
        <v>78</v>
      </c>
      <c r="K369" s="2" t="s">
        <v>93</v>
      </c>
      <c r="L369" s="2" t="s">
        <v>72</v>
      </c>
      <c r="M369" s="2" t="s">
        <v>81</v>
      </c>
      <c r="N369" s="2"/>
      <c r="O369" s="2"/>
      <c r="P369" s="2"/>
      <c r="Q369" s="2"/>
      <c r="R369" s="2"/>
      <c r="S369" s="2"/>
      <c r="T369" s="2"/>
      <c r="U369" s="2"/>
      <c r="V369" s="2"/>
      <c r="W369" s="2"/>
      <c r="X369" s="2"/>
      <c r="Y369" s="2"/>
      <c r="Z369" s="2"/>
      <c r="AA369" s="2"/>
    </row>
    <row r="370" customFormat="false" ht="15.75" hidden="false" customHeight="false" outlineLevel="0" collapsed="false">
      <c r="A370" s="2"/>
      <c r="B370" s="2" t="s">
        <v>81</v>
      </c>
      <c r="C370" s="2" t="s">
        <v>78</v>
      </c>
      <c r="D370" s="2" t="s">
        <v>147</v>
      </c>
      <c r="E370" s="2" t="s">
        <v>96</v>
      </c>
      <c r="F370" s="2" t="s">
        <v>75</v>
      </c>
      <c r="G370" s="2"/>
      <c r="H370" s="2"/>
      <c r="I370" s="2" t="s">
        <v>66</v>
      </c>
      <c r="J370" s="2" t="s">
        <v>78</v>
      </c>
      <c r="K370" s="2" t="s">
        <v>83</v>
      </c>
      <c r="L370" s="2" t="s">
        <v>72</v>
      </c>
      <c r="M370" s="2" t="s">
        <v>81</v>
      </c>
      <c r="N370" s="2"/>
      <c r="O370" s="2"/>
      <c r="P370" s="2"/>
      <c r="Q370" s="2"/>
      <c r="R370" s="2"/>
      <c r="S370" s="2"/>
      <c r="T370" s="2"/>
      <c r="U370" s="2"/>
      <c r="V370" s="2"/>
      <c r="W370" s="2"/>
      <c r="X370" s="2"/>
      <c r="Y370" s="2"/>
      <c r="Z370" s="2"/>
      <c r="AA370" s="2"/>
    </row>
    <row r="371" customFormat="false" ht="15.75" hidden="false" customHeight="false" outlineLevel="0" collapsed="false">
      <c r="A371" s="2"/>
      <c r="B371" s="2" t="s">
        <v>78</v>
      </c>
      <c r="C371" s="2" t="s">
        <v>93</v>
      </c>
      <c r="D371" s="2" t="s">
        <v>66</v>
      </c>
      <c r="E371" s="2" t="s">
        <v>81</v>
      </c>
      <c r="F371" s="2" t="s">
        <v>83</v>
      </c>
      <c r="G371" s="2"/>
      <c r="H371" s="2"/>
      <c r="I371" s="2" t="s">
        <v>63</v>
      </c>
      <c r="J371" s="2" t="s">
        <v>78</v>
      </c>
      <c r="K371" s="2" t="s">
        <v>83</v>
      </c>
      <c r="L371" s="2" t="s">
        <v>72</v>
      </c>
      <c r="M371" s="2" t="s">
        <v>81</v>
      </c>
      <c r="N371" s="2"/>
      <c r="O371" s="2"/>
      <c r="P371" s="2"/>
      <c r="Q371" s="2"/>
      <c r="R371" s="2"/>
      <c r="S371" s="2"/>
      <c r="T371" s="2"/>
      <c r="U371" s="2"/>
      <c r="V371" s="2"/>
      <c r="W371" s="2"/>
      <c r="X371" s="2"/>
      <c r="Y371" s="2"/>
      <c r="Z371" s="2"/>
      <c r="AA371" s="2"/>
    </row>
    <row r="372" customFormat="false" ht="15.75" hidden="false" customHeight="false" outlineLevel="0" collapsed="false">
      <c r="A372" s="2"/>
      <c r="B372" s="2" t="s">
        <v>89</v>
      </c>
      <c r="C372" s="2" t="s">
        <v>63</v>
      </c>
      <c r="D372" s="2" t="s">
        <v>96</v>
      </c>
      <c r="E372" s="2" t="s">
        <v>93</v>
      </c>
      <c r="F372" s="2" t="s">
        <v>66</v>
      </c>
      <c r="G372" s="2"/>
      <c r="H372" s="2"/>
      <c r="I372" s="2" t="s">
        <v>93</v>
      </c>
      <c r="J372" s="2" t="s">
        <v>75</v>
      </c>
      <c r="K372" s="2" t="s">
        <v>83</v>
      </c>
      <c r="L372" s="2" t="s">
        <v>96</v>
      </c>
      <c r="M372" s="2" t="s">
        <v>81</v>
      </c>
      <c r="N372" s="2"/>
      <c r="O372" s="2"/>
      <c r="P372" s="2"/>
      <c r="Q372" s="2"/>
      <c r="R372" s="2"/>
      <c r="S372" s="2"/>
      <c r="T372" s="2"/>
      <c r="U372" s="2"/>
      <c r="V372" s="2"/>
      <c r="W372" s="2"/>
      <c r="X372" s="2"/>
      <c r="Y372" s="2"/>
      <c r="Z372" s="2"/>
      <c r="AA372" s="2"/>
    </row>
    <row r="373" customFormat="false" ht="15.75" hidden="false" customHeight="false" outlineLevel="0" collapsed="false">
      <c r="A373" s="2"/>
      <c r="B373" s="2" t="s">
        <v>93</v>
      </c>
      <c r="C373" s="2" t="s">
        <v>72</v>
      </c>
      <c r="D373" s="2" t="s">
        <v>83</v>
      </c>
      <c r="E373" s="2" t="s">
        <v>72</v>
      </c>
      <c r="F373" s="2" t="s">
        <v>147</v>
      </c>
      <c r="G373" s="2"/>
      <c r="H373" s="2"/>
      <c r="I373" s="2" t="s">
        <v>93</v>
      </c>
      <c r="J373" s="2" t="s">
        <v>75</v>
      </c>
      <c r="K373" s="2" t="s">
        <v>83</v>
      </c>
      <c r="L373" s="2" t="s">
        <v>75</v>
      </c>
      <c r="M373" s="2" t="s">
        <v>81</v>
      </c>
      <c r="N373" s="2"/>
      <c r="O373" s="2"/>
      <c r="P373" s="2"/>
      <c r="Q373" s="2"/>
      <c r="R373" s="2"/>
      <c r="S373" s="2"/>
      <c r="T373" s="2"/>
      <c r="U373" s="2"/>
      <c r="V373" s="2"/>
      <c r="W373" s="2"/>
      <c r="X373" s="2"/>
      <c r="Y373" s="2"/>
      <c r="Z373" s="2"/>
      <c r="AA373" s="2"/>
    </row>
    <row r="374" customFormat="false" ht="15.75" hidden="false" customHeight="false" outlineLevel="0" collapsed="false">
      <c r="A374" s="2"/>
      <c r="B374" s="2" t="s">
        <v>72</v>
      </c>
      <c r="C374" s="2" t="s">
        <v>81</v>
      </c>
      <c r="D374" s="2" t="s">
        <v>75</v>
      </c>
      <c r="E374" s="2" t="s">
        <v>78</v>
      </c>
      <c r="F374" s="2" t="s">
        <v>83</v>
      </c>
      <c r="G374" s="2"/>
      <c r="H374" s="2"/>
      <c r="I374" s="2" t="s">
        <v>93</v>
      </c>
      <c r="J374" s="2" t="s">
        <v>149</v>
      </c>
      <c r="K374" s="2" t="s">
        <v>81</v>
      </c>
      <c r="L374" s="2" t="s">
        <v>75</v>
      </c>
      <c r="M374" s="2" t="s">
        <v>81</v>
      </c>
      <c r="N374" s="2"/>
      <c r="O374" s="2"/>
      <c r="P374" s="2"/>
      <c r="Q374" s="2"/>
      <c r="R374" s="2"/>
      <c r="S374" s="2"/>
      <c r="T374" s="2"/>
      <c r="U374" s="2"/>
      <c r="V374" s="2"/>
      <c r="W374" s="2"/>
      <c r="X374" s="2"/>
      <c r="Y374" s="2"/>
      <c r="Z374" s="2"/>
      <c r="AA374" s="2"/>
    </row>
    <row r="375" customFormat="false" ht="15.75" hidden="false" customHeight="false" outlineLevel="0" collapsed="false">
      <c r="A375" s="2"/>
      <c r="B375" s="2" t="s">
        <v>72</v>
      </c>
      <c r="C375" s="2" t="s">
        <v>83</v>
      </c>
      <c r="D375" s="2" t="s">
        <v>96</v>
      </c>
      <c r="E375" s="2" t="s">
        <v>96</v>
      </c>
      <c r="F375" s="2" t="s">
        <v>93</v>
      </c>
      <c r="G375" s="2"/>
      <c r="H375" s="2"/>
      <c r="I375" s="2" t="s">
        <v>93</v>
      </c>
      <c r="J375" s="2" t="s">
        <v>75</v>
      </c>
      <c r="K375" s="2" t="s">
        <v>81</v>
      </c>
      <c r="L375" s="2" t="s">
        <v>75</v>
      </c>
      <c r="M375" s="2" t="s">
        <v>81</v>
      </c>
      <c r="N375" s="2"/>
      <c r="O375" s="2"/>
      <c r="P375" s="2"/>
      <c r="Q375" s="2"/>
      <c r="R375" s="2"/>
      <c r="S375" s="2"/>
      <c r="T375" s="2"/>
      <c r="U375" s="2"/>
      <c r="V375" s="2"/>
      <c r="W375" s="2"/>
      <c r="X375" s="2"/>
      <c r="Y375" s="2"/>
      <c r="Z375" s="2"/>
      <c r="AA375" s="2"/>
    </row>
    <row r="376" customFormat="false" ht="15.75" hidden="false" customHeight="false" outlineLevel="0" collapsed="false">
      <c r="A376" s="2"/>
      <c r="B376" s="2" t="s">
        <v>69</v>
      </c>
      <c r="C376" s="2" t="s">
        <v>66</v>
      </c>
      <c r="D376" s="2" t="s">
        <v>75</v>
      </c>
      <c r="E376" s="2" t="s">
        <v>69</v>
      </c>
      <c r="F376" s="2" t="s">
        <v>75</v>
      </c>
      <c r="G376" s="2"/>
      <c r="H376" s="2"/>
      <c r="I376" s="2" t="s">
        <v>63</v>
      </c>
      <c r="J376" s="2" t="s">
        <v>149</v>
      </c>
      <c r="K376" s="2" t="s">
        <v>81</v>
      </c>
      <c r="L376" s="2" t="s">
        <v>75</v>
      </c>
      <c r="M376" s="2" t="s">
        <v>69</v>
      </c>
      <c r="N376" s="2"/>
      <c r="O376" s="2"/>
      <c r="P376" s="2"/>
      <c r="Q376" s="2"/>
      <c r="R376" s="2"/>
      <c r="S376" s="2"/>
      <c r="T376" s="2"/>
      <c r="U376" s="2"/>
      <c r="V376" s="2"/>
      <c r="W376" s="2"/>
      <c r="X376" s="2"/>
      <c r="Y376" s="2"/>
      <c r="Z376" s="2"/>
      <c r="AA376" s="2"/>
    </row>
    <row r="377" customFormat="false" ht="15.75" hidden="false" customHeight="false" outlineLevel="0" collapsed="false">
      <c r="A377" s="2"/>
      <c r="B377" s="2" t="s">
        <v>81</v>
      </c>
      <c r="C377" s="2" t="s">
        <v>81</v>
      </c>
      <c r="D377" s="2" t="s">
        <v>93</v>
      </c>
      <c r="E377" s="2" t="s">
        <v>83</v>
      </c>
      <c r="F377" s="2" t="s">
        <v>147</v>
      </c>
      <c r="G377" s="2"/>
      <c r="H377" s="2"/>
      <c r="I377" s="2" t="s">
        <v>63</v>
      </c>
      <c r="J377" s="2" t="s">
        <v>75</v>
      </c>
      <c r="K377" s="2" t="s">
        <v>81</v>
      </c>
      <c r="L377" s="2" t="s">
        <v>93</v>
      </c>
      <c r="M377" s="2" t="s">
        <v>69</v>
      </c>
      <c r="N377" s="2"/>
      <c r="O377" s="2"/>
      <c r="P377" s="2"/>
      <c r="Q377" s="2"/>
      <c r="R377" s="2"/>
      <c r="S377" s="2"/>
      <c r="T377" s="2"/>
      <c r="U377" s="2"/>
      <c r="V377" s="2"/>
      <c r="W377" s="2"/>
      <c r="X377" s="2"/>
      <c r="Y377" s="2"/>
      <c r="Z377" s="2"/>
      <c r="AA377" s="2"/>
    </row>
    <row r="378" customFormat="false" ht="15.75" hidden="false" customHeight="false" outlineLevel="0" collapsed="false">
      <c r="A378" s="2"/>
      <c r="B378" s="2" t="s">
        <v>72</v>
      </c>
      <c r="C378" s="2" t="s">
        <v>96</v>
      </c>
      <c r="D378" s="2" t="s">
        <v>83</v>
      </c>
      <c r="E378" s="2" t="s">
        <v>93</v>
      </c>
      <c r="F378" s="2" t="s">
        <v>78</v>
      </c>
      <c r="G378" s="2"/>
      <c r="H378" s="2"/>
      <c r="I378" s="2" t="s">
        <v>63</v>
      </c>
      <c r="J378" s="2" t="s">
        <v>72</v>
      </c>
      <c r="K378" s="2" t="s">
        <v>149</v>
      </c>
      <c r="L378" s="2" t="s">
        <v>93</v>
      </c>
      <c r="M378" s="2" t="s">
        <v>69</v>
      </c>
      <c r="N378" s="2"/>
      <c r="O378" s="2"/>
      <c r="P378" s="2"/>
      <c r="Q378" s="2"/>
      <c r="R378" s="2"/>
      <c r="S378" s="2"/>
      <c r="T378" s="2"/>
      <c r="U378" s="2"/>
      <c r="V378" s="2"/>
      <c r="W378" s="2"/>
      <c r="X378" s="2"/>
      <c r="Y378" s="2"/>
      <c r="Z378" s="2"/>
      <c r="AA378" s="2"/>
    </row>
    <row r="379" customFormat="false" ht="15.75" hidden="false" customHeight="false" outlineLevel="0" collapsed="false">
      <c r="A379" s="2"/>
      <c r="B379" s="2" t="s">
        <v>63</v>
      </c>
      <c r="C379" s="2" t="s">
        <v>149</v>
      </c>
      <c r="D379" s="2" t="s">
        <v>75</v>
      </c>
      <c r="E379" s="2" t="s">
        <v>81</v>
      </c>
      <c r="F379" s="2" t="s">
        <v>66</v>
      </c>
      <c r="G379" s="2"/>
      <c r="H379" s="2"/>
      <c r="I379" s="2" t="s">
        <v>63</v>
      </c>
      <c r="J379" s="2" t="s">
        <v>72</v>
      </c>
      <c r="K379" s="2" t="s">
        <v>72</v>
      </c>
      <c r="L379" s="2" t="s">
        <v>93</v>
      </c>
      <c r="M379" s="2" t="s">
        <v>69</v>
      </c>
      <c r="N379" s="2"/>
      <c r="O379" s="2"/>
      <c r="P379" s="2"/>
      <c r="Q379" s="2"/>
      <c r="R379" s="2"/>
      <c r="S379" s="2"/>
      <c r="T379" s="2"/>
      <c r="U379" s="2"/>
      <c r="V379" s="2"/>
      <c r="W379" s="2"/>
      <c r="X379" s="2"/>
      <c r="Y379" s="2"/>
      <c r="Z379" s="2"/>
      <c r="AA379" s="2"/>
    </row>
    <row r="380" customFormat="false" ht="15.75" hidden="false" customHeight="false" outlineLevel="0" collapsed="false">
      <c r="A380" s="2"/>
      <c r="B380" s="2" t="s">
        <v>83</v>
      </c>
      <c r="C380" s="2" t="s">
        <v>81</v>
      </c>
      <c r="D380" s="2" t="s">
        <v>93</v>
      </c>
      <c r="E380" s="2" t="s">
        <v>63</v>
      </c>
      <c r="F380" s="2" t="s">
        <v>83</v>
      </c>
      <c r="G380" s="2"/>
      <c r="H380" s="2"/>
      <c r="I380" s="2" t="s">
        <v>78</v>
      </c>
      <c r="J380" s="2" t="s">
        <v>72</v>
      </c>
      <c r="K380" s="2" t="s">
        <v>72</v>
      </c>
      <c r="L380" s="2" t="s">
        <v>93</v>
      </c>
      <c r="M380" s="2" t="s">
        <v>75</v>
      </c>
      <c r="N380" s="2"/>
      <c r="O380" s="2"/>
      <c r="P380" s="2"/>
      <c r="Q380" s="2"/>
      <c r="R380" s="2"/>
      <c r="S380" s="2"/>
      <c r="T380" s="2"/>
      <c r="U380" s="2"/>
      <c r="V380" s="2"/>
      <c r="W380" s="2"/>
      <c r="X380" s="2"/>
      <c r="Y380" s="2"/>
      <c r="Z380" s="2"/>
      <c r="AA380" s="2"/>
    </row>
    <row r="381" customFormat="false" ht="15.75" hidden="false" customHeight="false" outlineLevel="0" collapsed="false">
      <c r="A381" s="2"/>
      <c r="B381" s="2" t="s">
        <v>93</v>
      </c>
      <c r="C381" s="2" t="s">
        <v>66</v>
      </c>
      <c r="D381" s="2" t="s">
        <v>81</v>
      </c>
      <c r="E381" s="2" t="s">
        <v>83</v>
      </c>
      <c r="F381" s="2" t="s">
        <v>63</v>
      </c>
      <c r="G381" s="2"/>
      <c r="H381" s="2"/>
      <c r="I381" s="2" t="s">
        <v>78</v>
      </c>
      <c r="J381" s="2" t="s">
        <v>72</v>
      </c>
      <c r="K381" s="2" t="s">
        <v>72</v>
      </c>
      <c r="L381" s="2" t="s">
        <v>63</v>
      </c>
      <c r="M381" s="2" t="s">
        <v>75</v>
      </c>
      <c r="N381" s="2"/>
      <c r="O381" s="2"/>
      <c r="P381" s="2"/>
      <c r="Q381" s="2"/>
      <c r="R381" s="2"/>
      <c r="S381" s="2"/>
      <c r="T381" s="2"/>
      <c r="U381" s="2"/>
      <c r="V381" s="2"/>
      <c r="W381" s="2"/>
      <c r="X381" s="2"/>
      <c r="Y381" s="2"/>
      <c r="Z381" s="2"/>
      <c r="AA381" s="2"/>
    </row>
    <row r="382" customFormat="false" ht="15.75" hidden="false" customHeight="false" outlineLevel="0" collapsed="false">
      <c r="A382" s="2"/>
      <c r="B382" s="2" t="s">
        <v>93</v>
      </c>
      <c r="C382" s="2" t="s">
        <v>83</v>
      </c>
      <c r="D382" s="2" t="s">
        <v>78</v>
      </c>
      <c r="E382" s="2" t="s">
        <v>96</v>
      </c>
      <c r="F382" s="2" t="s">
        <v>72</v>
      </c>
      <c r="G382" s="2"/>
      <c r="H382" s="2"/>
      <c r="I382" s="2" t="s">
        <v>78</v>
      </c>
      <c r="J382" s="2" t="s">
        <v>78</v>
      </c>
      <c r="K382" s="2" t="s">
        <v>72</v>
      </c>
      <c r="L382" s="2" t="s">
        <v>63</v>
      </c>
      <c r="M382" s="2" t="s">
        <v>63</v>
      </c>
      <c r="N382" s="2"/>
      <c r="O382" s="2"/>
      <c r="P382" s="2"/>
      <c r="Q382" s="2"/>
      <c r="R382" s="2"/>
      <c r="S382" s="2"/>
      <c r="T382" s="2"/>
      <c r="U382" s="2"/>
      <c r="V382" s="2"/>
      <c r="W382" s="2"/>
      <c r="X382" s="2"/>
      <c r="Y382" s="2"/>
      <c r="Z382" s="2"/>
      <c r="AA382" s="2"/>
    </row>
    <row r="383" customFormat="false" ht="15.75" hidden="false" customHeight="false" outlineLevel="0" collapsed="false">
      <c r="A383" s="2"/>
      <c r="B383" s="2" t="s">
        <v>75</v>
      </c>
      <c r="C383" s="2" t="s">
        <v>89</v>
      </c>
      <c r="D383" s="2" t="s">
        <v>66</v>
      </c>
      <c r="E383" s="2" t="s">
        <v>96</v>
      </c>
      <c r="F383" s="2" t="s">
        <v>81</v>
      </c>
      <c r="G383" s="2"/>
      <c r="H383" s="2"/>
      <c r="I383" s="2" t="s">
        <v>78</v>
      </c>
      <c r="J383" s="2" t="s">
        <v>78</v>
      </c>
      <c r="K383" s="2" t="s">
        <v>81</v>
      </c>
      <c r="L383" s="2" t="s">
        <v>63</v>
      </c>
      <c r="M383" s="2" t="s">
        <v>63</v>
      </c>
      <c r="N383" s="2"/>
      <c r="O383" s="2"/>
      <c r="P383" s="2"/>
      <c r="Q383" s="2"/>
      <c r="R383" s="2"/>
      <c r="S383" s="2"/>
      <c r="T383" s="2"/>
      <c r="U383" s="2"/>
      <c r="V383" s="2"/>
      <c r="W383" s="2"/>
      <c r="X383" s="2"/>
      <c r="Y383" s="2"/>
      <c r="Z383" s="2"/>
      <c r="AA383" s="2"/>
    </row>
    <row r="384" customFormat="false" ht="15.75" hidden="false" customHeight="false" outlineLevel="0" collapsed="false">
      <c r="A384" s="2"/>
      <c r="B384" s="2" t="s">
        <v>78</v>
      </c>
      <c r="C384" s="2" t="s">
        <v>81</v>
      </c>
      <c r="D384" s="2" t="s">
        <v>93</v>
      </c>
      <c r="E384" s="2" t="s">
        <v>96</v>
      </c>
      <c r="F384" s="2" t="s">
        <v>93</v>
      </c>
      <c r="G384" s="2"/>
      <c r="H384" s="2"/>
      <c r="I384" s="2" t="s">
        <v>63</v>
      </c>
      <c r="J384" s="2" t="s">
        <v>78</v>
      </c>
      <c r="K384" s="2" t="s">
        <v>81</v>
      </c>
      <c r="L384" s="2" t="s">
        <v>63</v>
      </c>
      <c r="M384" s="2" t="s">
        <v>63</v>
      </c>
      <c r="N384" s="2"/>
      <c r="O384" s="2"/>
      <c r="P384" s="2"/>
      <c r="Q384" s="2"/>
      <c r="R384" s="2"/>
      <c r="S384" s="2"/>
      <c r="T384" s="2"/>
      <c r="U384" s="2"/>
      <c r="V384" s="2"/>
      <c r="W384" s="2"/>
      <c r="X384" s="2"/>
      <c r="Y384" s="2"/>
      <c r="Z384" s="2"/>
      <c r="AA384" s="2"/>
    </row>
    <row r="385" customFormat="false" ht="15.75" hidden="false" customHeight="false" outlineLevel="0" collapsed="false">
      <c r="A385" s="2"/>
      <c r="B385" s="2" t="s">
        <v>81</v>
      </c>
      <c r="C385" s="2" t="s">
        <v>96</v>
      </c>
      <c r="D385" s="2" t="s">
        <v>63</v>
      </c>
      <c r="E385" s="2" t="s">
        <v>66</v>
      </c>
      <c r="F385" s="2" t="s">
        <v>81</v>
      </c>
      <c r="G385" s="2"/>
      <c r="H385" s="2"/>
      <c r="I385" s="2" t="s">
        <v>63</v>
      </c>
      <c r="J385" s="2" t="s">
        <v>78</v>
      </c>
      <c r="K385" s="2" t="s">
        <v>81</v>
      </c>
      <c r="L385" s="2" t="s">
        <v>93</v>
      </c>
      <c r="M385" s="2" t="s">
        <v>63</v>
      </c>
      <c r="N385" s="2"/>
      <c r="O385" s="2"/>
      <c r="P385" s="2"/>
      <c r="Q385" s="2"/>
      <c r="R385" s="2"/>
      <c r="S385" s="2"/>
      <c r="T385" s="2"/>
      <c r="U385" s="2"/>
      <c r="V385" s="2"/>
      <c r="W385" s="2"/>
      <c r="X385" s="2"/>
      <c r="Y385" s="2"/>
      <c r="Z385" s="2"/>
      <c r="AA385" s="2"/>
    </row>
    <row r="386" customFormat="false" ht="15.75" hidden="false" customHeight="false" outlineLevel="0" collapsed="false">
      <c r="A386" s="2"/>
      <c r="B386" s="2" t="s">
        <v>72</v>
      </c>
      <c r="C386" s="2" t="s">
        <v>89</v>
      </c>
      <c r="D386" s="2" t="s">
        <v>81</v>
      </c>
      <c r="E386" s="2" t="s">
        <v>66</v>
      </c>
      <c r="F386" s="2" t="s">
        <v>78</v>
      </c>
      <c r="G386" s="2"/>
      <c r="H386" s="2"/>
      <c r="I386" s="2" t="s">
        <v>63</v>
      </c>
      <c r="J386" s="2" t="s">
        <v>93</v>
      </c>
      <c r="K386" s="2" t="s">
        <v>81</v>
      </c>
      <c r="L386" s="2" t="s">
        <v>93</v>
      </c>
      <c r="M386" s="2" t="s">
        <v>78</v>
      </c>
      <c r="N386" s="2"/>
      <c r="O386" s="2"/>
      <c r="P386" s="2"/>
      <c r="Q386" s="2"/>
      <c r="R386" s="2"/>
      <c r="S386" s="2"/>
      <c r="T386" s="2"/>
      <c r="U386" s="2"/>
      <c r="V386" s="2"/>
      <c r="W386" s="2"/>
      <c r="X386" s="2"/>
      <c r="Y386" s="2"/>
      <c r="Z386" s="2"/>
      <c r="AA386" s="2"/>
    </row>
    <row r="387" customFormat="false" ht="15.75" hidden="false" customHeight="false" outlineLevel="0" collapsed="false">
      <c r="A387" s="2"/>
      <c r="B387" s="2" t="s">
        <v>81</v>
      </c>
      <c r="C387" s="2" t="s">
        <v>72</v>
      </c>
      <c r="D387" s="2" t="s">
        <v>147</v>
      </c>
      <c r="E387" s="2" t="s">
        <v>75</v>
      </c>
      <c r="F387" s="2" t="s">
        <v>63</v>
      </c>
      <c r="G387" s="2"/>
      <c r="H387" s="2"/>
      <c r="I387" s="2" t="s">
        <v>63</v>
      </c>
      <c r="J387" s="2" t="s">
        <v>93</v>
      </c>
      <c r="K387" s="2" t="s">
        <v>96</v>
      </c>
      <c r="L387" s="2" t="s">
        <v>93</v>
      </c>
      <c r="M387" s="2" t="s">
        <v>78</v>
      </c>
      <c r="N387" s="2"/>
      <c r="O387" s="2"/>
      <c r="P387" s="2"/>
      <c r="Q387" s="2"/>
      <c r="R387" s="2"/>
      <c r="S387" s="2"/>
      <c r="T387" s="2"/>
      <c r="U387" s="2"/>
      <c r="V387" s="2"/>
      <c r="W387" s="2"/>
      <c r="X387" s="2"/>
      <c r="Y387" s="2"/>
      <c r="Z387" s="2"/>
      <c r="AA387" s="2"/>
    </row>
    <row r="388" customFormat="false" ht="15.75" hidden="false" customHeight="false" outlineLevel="0" collapsed="false">
      <c r="A388" s="2"/>
      <c r="B388" s="2" t="s">
        <v>72</v>
      </c>
      <c r="C388" s="2" t="s">
        <v>78</v>
      </c>
      <c r="D388" s="2" t="s">
        <v>96</v>
      </c>
      <c r="E388" s="2" t="s">
        <v>75</v>
      </c>
      <c r="F388" s="2" t="s">
        <v>63</v>
      </c>
      <c r="G388" s="2"/>
      <c r="H388" s="2"/>
      <c r="I388" s="2" t="s">
        <v>78</v>
      </c>
      <c r="J388" s="2" t="s">
        <v>93</v>
      </c>
      <c r="K388" s="2" t="s">
        <v>96</v>
      </c>
      <c r="L388" s="2" t="s">
        <v>93</v>
      </c>
      <c r="M388" s="2" t="s">
        <v>78</v>
      </c>
      <c r="N388" s="2"/>
      <c r="O388" s="2"/>
      <c r="P388" s="2"/>
      <c r="Q388" s="2"/>
      <c r="R388" s="2"/>
      <c r="S388" s="2"/>
      <c r="T388" s="2"/>
      <c r="U388" s="2"/>
      <c r="V388" s="2"/>
      <c r="W388" s="2"/>
      <c r="X388" s="2"/>
      <c r="Y388" s="2"/>
      <c r="Z388" s="2"/>
      <c r="AA388" s="2"/>
    </row>
    <row r="389" customFormat="false" ht="15.75" hidden="false" customHeight="false" outlineLevel="0" collapsed="false">
      <c r="A389" s="2"/>
      <c r="B389" s="2" t="s">
        <v>89</v>
      </c>
      <c r="C389" s="2" t="s">
        <v>63</v>
      </c>
      <c r="D389" s="2" t="s">
        <v>78</v>
      </c>
      <c r="E389" s="2" t="s">
        <v>66</v>
      </c>
      <c r="F389" s="2" t="s">
        <v>83</v>
      </c>
      <c r="G389" s="2"/>
      <c r="H389" s="2"/>
      <c r="I389" s="2" t="s">
        <v>78</v>
      </c>
      <c r="J389" s="2" t="s">
        <v>93</v>
      </c>
      <c r="K389" s="2" t="s">
        <v>96</v>
      </c>
      <c r="L389" s="2" t="s">
        <v>96</v>
      </c>
      <c r="M389" s="2" t="s">
        <v>78</v>
      </c>
      <c r="N389" s="2"/>
      <c r="O389" s="2"/>
      <c r="P389" s="2"/>
      <c r="Q389" s="2"/>
      <c r="R389" s="2"/>
      <c r="S389" s="2"/>
      <c r="T389" s="2"/>
      <c r="U389" s="2"/>
      <c r="V389" s="2"/>
      <c r="W389" s="2"/>
      <c r="X389" s="2"/>
      <c r="Y389" s="2"/>
      <c r="Z389" s="2"/>
      <c r="AA389" s="2"/>
    </row>
    <row r="390" customFormat="false" ht="15.75" hidden="false" customHeight="false" outlineLevel="0" collapsed="false">
      <c r="A390" s="2"/>
      <c r="B390" s="2" t="s">
        <v>89</v>
      </c>
      <c r="C390" s="2" t="s">
        <v>66</v>
      </c>
      <c r="D390" s="2" t="s">
        <v>75</v>
      </c>
      <c r="E390" s="2" t="s">
        <v>72</v>
      </c>
      <c r="F390" s="2" t="s">
        <v>96</v>
      </c>
      <c r="G390" s="2"/>
      <c r="H390" s="2"/>
      <c r="I390" s="2" t="s">
        <v>78</v>
      </c>
      <c r="J390" s="2" t="s">
        <v>63</v>
      </c>
      <c r="K390" s="2" t="s">
        <v>96</v>
      </c>
      <c r="L390" s="2" t="s">
        <v>96</v>
      </c>
      <c r="M390" s="2" t="s">
        <v>96</v>
      </c>
      <c r="N390" s="2"/>
      <c r="O390" s="2"/>
      <c r="P390" s="2"/>
      <c r="Q390" s="2"/>
      <c r="R390" s="2"/>
      <c r="S390" s="2"/>
      <c r="T390" s="2"/>
      <c r="U390" s="2"/>
      <c r="V390" s="2"/>
      <c r="W390" s="2"/>
      <c r="X390" s="2"/>
      <c r="Y390" s="2"/>
      <c r="Z390" s="2"/>
      <c r="AA390" s="2"/>
    </row>
    <row r="391" customFormat="false" ht="15.75" hidden="false" customHeight="false" outlineLevel="0" collapsed="false">
      <c r="A391" s="2"/>
      <c r="B391" s="2" t="s">
        <v>89</v>
      </c>
      <c r="C391" s="2" t="s">
        <v>96</v>
      </c>
      <c r="D391" s="2" t="s">
        <v>66</v>
      </c>
      <c r="E391" s="2" t="s">
        <v>93</v>
      </c>
      <c r="F391" s="2" t="s">
        <v>81</v>
      </c>
      <c r="G391" s="2"/>
      <c r="H391" s="2"/>
      <c r="I391" s="2" t="s">
        <v>78</v>
      </c>
      <c r="J391" s="2" t="s">
        <v>63</v>
      </c>
      <c r="K391" s="2" t="s">
        <v>83</v>
      </c>
      <c r="L391" s="2" t="s">
        <v>96</v>
      </c>
      <c r="M391" s="2" t="s">
        <v>96</v>
      </c>
      <c r="N391" s="2"/>
      <c r="O391" s="2"/>
      <c r="P391" s="2"/>
      <c r="Q391" s="2"/>
      <c r="R391" s="2"/>
      <c r="S391" s="2"/>
      <c r="T391" s="2"/>
      <c r="U391" s="2"/>
      <c r="V391" s="2"/>
      <c r="W391" s="2"/>
      <c r="X391" s="2"/>
      <c r="Y391" s="2"/>
      <c r="Z391" s="2"/>
      <c r="AA391" s="2"/>
    </row>
    <row r="392" customFormat="false" ht="15.75" hidden="false" customHeight="false" outlineLevel="0" collapsed="false">
      <c r="A392" s="2"/>
      <c r="B392" s="2" t="s">
        <v>96</v>
      </c>
      <c r="C392" s="2" t="s">
        <v>69</v>
      </c>
      <c r="D392" s="2" t="s">
        <v>96</v>
      </c>
      <c r="E392" s="2" t="s">
        <v>89</v>
      </c>
      <c r="F392" s="2" t="s">
        <v>96</v>
      </c>
      <c r="G392" s="2"/>
      <c r="H392" s="2"/>
      <c r="I392" s="2" t="s">
        <v>96</v>
      </c>
      <c r="J392" s="2" t="s">
        <v>63</v>
      </c>
      <c r="K392" s="2" t="s">
        <v>83</v>
      </c>
      <c r="L392" s="2" t="s">
        <v>96</v>
      </c>
      <c r="M392" s="2" t="s">
        <v>96</v>
      </c>
      <c r="N392" s="2"/>
      <c r="O392" s="2"/>
      <c r="P392" s="2"/>
      <c r="Q392" s="2"/>
      <c r="R392" s="2"/>
      <c r="S392" s="2"/>
      <c r="T392" s="2"/>
      <c r="U392" s="2"/>
      <c r="V392" s="2"/>
      <c r="W392" s="2"/>
      <c r="X392" s="2"/>
      <c r="Y392" s="2"/>
      <c r="Z392" s="2"/>
      <c r="AA392" s="2"/>
    </row>
    <row r="393" customFormat="false" ht="15.75" hidden="false" customHeight="false" outlineLevel="0" collapsed="false">
      <c r="A393" s="2"/>
      <c r="B393" s="2" t="s">
        <v>83</v>
      </c>
      <c r="C393" s="2" t="s">
        <v>63</v>
      </c>
      <c r="D393" s="2" t="s">
        <v>69</v>
      </c>
      <c r="E393" s="2" t="s">
        <v>66</v>
      </c>
      <c r="F393" s="2" t="s">
        <v>96</v>
      </c>
      <c r="G393" s="2"/>
      <c r="H393" s="2"/>
      <c r="I393" s="2" t="s">
        <v>96</v>
      </c>
      <c r="J393" s="2" t="s">
        <v>63</v>
      </c>
      <c r="K393" s="2" t="s">
        <v>149</v>
      </c>
      <c r="L393" s="2" t="s">
        <v>69</v>
      </c>
      <c r="M393" s="2" t="s">
        <v>96</v>
      </c>
      <c r="N393" s="2"/>
      <c r="O393" s="2"/>
      <c r="P393" s="2"/>
      <c r="Q393" s="2"/>
      <c r="R393" s="2"/>
      <c r="S393" s="2"/>
      <c r="T393" s="2"/>
      <c r="U393" s="2"/>
      <c r="V393" s="2"/>
      <c r="W393" s="2"/>
      <c r="X393" s="2"/>
      <c r="Y393" s="2"/>
      <c r="Z393" s="2"/>
      <c r="AA393" s="2"/>
    </row>
    <row r="394" customFormat="false" ht="15.75" hidden="false" customHeight="false" outlineLevel="0" collapsed="false">
      <c r="A394" s="2"/>
      <c r="B394" s="2" t="s">
        <v>69</v>
      </c>
      <c r="C394" s="2" t="s">
        <v>96</v>
      </c>
      <c r="D394" s="2" t="s">
        <v>147</v>
      </c>
      <c r="E394" s="2" t="s">
        <v>89</v>
      </c>
      <c r="F394" s="2" t="s">
        <v>72</v>
      </c>
      <c r="G394" s="2"/>
      <c r="H394" s="2"/>
      <c r="I394" s="2" t="s">
        <v>96</v>
      </c>
      <c r="J394" s="2" t="s">
        <v>75</v>
      </c>
      <c r="K394" s="2" t="s">
        <v>83</v>
      </c>
      <c r="L394" s="2" t="s">
        <v>69</v>
      </c>
      <c r="M394" s="2" t="s">
        <v>66</v>
      </c>
      <c r="N394" s="2"/>
      <c r="O394" s="2"/>
      <c r="P394" s="2"/>
      <c r="Q394" s="2"/>
      <c r="R394" s="2"/>
      <c r="S394" s="2"/>
      <c r="T394" s="2"/>
      <c r="U394" s="2"/>
      <c r="V394" s="2"/>
      <c r="W394" s="2"/>
      <c r="X394" s="2"/>
      <c r="Y394" s="2"/>
      <c r="Z394" s="2"/>
      <c r="AA394" s="2"/>
    </row>
    <row r="395" customFormat="false" ht="15.75" hidden="false" customHeight="false" outlineLevel="0" collapsed="false">
      <c r="A395" s="2"/>
      <c r="B395" s="2" t="s">
        <v>147</v>
      </c>
      <c r="C395" s="2" t="s">
        <v>81</v>
      </c>
      <c r="D395" s="2" t="s">
        <v>89</v>
      </c>
      <c r="E395" s="2" t="s">
        <v>75</v>
      </c>
      <c r="F395" s="2" t="s">
        <v>83</v>
      </c>
      <c r="G395" s="2"/>
      <c r="H395" s="2"/>
      <c r="I395" s="2" t="s">
        <v>96</v>
      </c>
      <c r="J395" s="2" t="s">
        <v>75</v>
      </c>
      <c r="K395" s="2" t="s">
        <v>83</v>
      </c>
      <c r="L395" s="2" t="s">
        <v>69</v>
      </c>
      <c r="M395" s="2" t="s">
        <v>66</v>
      </c>
      <c r="N395" s="2"/>
      <c r="O395" s="2"/>
      <c r="P395" s="2"/>
      <c r="Q395" s="2"/>
      <c r="R395" s="2"/>
      <c r="S395" s="2"/>
      <c r="T395" s="2"/>
      <c r="U395" s="2"/>
      <c r="V395" s="2"/>
      <c r="W395" s="2"/>
      <c r="X395" s="2"/>
      <c r="Y395" s="2"/>
      <c r="Z395" s="2"/>
      <c r="AA395" s="2"/>
    </row>
    <row r="396" customFormat="false" ht="15.75" hidden="false" customHeight="false" outlineLevel="0" collapsed="false">
      <c r="A396" s="2"/>
      <c r="B396" s="2" t="s">
        <v>69</v>
      </c>
      <c r="C396" s="2" t="s">
        <v>83</v>
      </c>
      <c r="D396" s="2" t="s">
        <v>81</v>
      </c>
      <c r="E396" s="2" t="s">
        <v>89</v>
      </c>
      <c r="F396" s="2" t="s">
        <v>96</v>
      </c>
      <c r="G396" s="2"/>
      <c r="H396" s="2"/>
      <c r="I396" s="2" t="s">
        <v>83</v>
      </c>
      <c r="J396" s="2" t="s">
        <v>75</v>
      </c>
      <c r="K396" s="2" t="s">
        <v>75</v>
      </c>
      <c r="L396" s="2" t="s">
        <v>69</v>
      </c>
      <c r="M396" s="2" t="s">
        <v>66</v>
      </c>
      <c r="N396" s="2"/>
      <c r="O396" s="2"/>
      <c r="P396" s="2"/>
      <c r="Q396" s="2"/>
      <c r="R396" s="2"/>
      <c r="S396" s="2"/>
      <c r="T396" s="2"/>
      <c r="U396" s="2"/>
      <c r="V396" s="2"/>
      <c r="W396" s="2"/>
      <c r="X396" s="2"/>
      <c r="Y396" s="2"/>
      <c r="Z396" s="2"/>
      <c r="AA396" s="2"/>
    </row>
    <row r="397" customFormat="false" ht="15.75" hidden="false" customHeight="false" outlineLevel="0" collapsed="false">
      <c r="A397" s="2"/>
      <c r="B397" s="2" t="s">
        <v>89</v>
      </c>
      <c r="C397" s="2" t="s">
        <v>75</v>
      </c>
      <c r="D397" s="2" t="s">
        <v>83</v>
      </c>
      <c r="E397" s="2" t="s">
        <v>89</v>
      </c>
      <c r="F397" s="2" t="s">
        <v>69</v>
      </c>
      <c r="G397" s="2"/>
      <c r="H397" s="2"/>
      <c r="I397" s="2" t="s">
        <v>83</v>
      </c>
      <c r="J397" s="2" t="s">
        <v>75</v>
      </c>
      <c r="K397" s="2" t="s">
        <v>75</v>
      </c>
      <c r="L397" s="2" t="s">
        <v>96</v>
      </c>
      <c r="M397" s="2" t="s">
        <v>66</v>
      </c>
      <c r="N397" s="2"/>
      <c r="O397" s="2"/>
      <c r="P397" s="2"/>
      <c r="Q397" s="2"/>
      <c r="R397" s="2"/>
      <c r="S397" s="2"/>
      <c r="T397" s="2"/>
      <c r="U397" s="2"/>
      <c r="V397" s="2"/>
      <c r="W397" s="2"/>
      <c r="X397" s="2"/>
      <c r="Y397" s="2"/>
      <c r="Z397" s="2"/>
      <c r="AA397" s="2"/>
    </row>
    <row r="398" customFormat="false" ht="15.75" hidden="false" customHeight="false" outlineLevel="0" collapsed="false">
      <c r="A398" s="2"/>
      <c r="B398" s="2" t="s">
        <v>66</v>
      </c>
      <c r="C398" s="2" t="s">
        <v>75</v>
      </c>
      <c r="D398" s="2" t="s">
        <v>78</v>
      </c>
      <c r="E398" s="2" t="s">
        <v>66</v>
      </c>
      <c r="F398" s="2" t="s">
        <v>75</v>
      </c>
      <c r="G398" s="2"/>
      <c r="H398" s="2"/>
      <c r="I398" s="2" t="s">
        <v>83</v>
      </c>
      <c r="J398" s="2" t="s">
        <v>93</v>
      </c>
      <c r="K398" s="2" t="s">
        <v>75</v>
      </c>
      <c r="L398" s="2" t="s">
        <v>96</v>
      </c>
      <c r="M398" s="2" t="s">
        <v>66</v>
      </c>
      <c r="N398" s="2"/>
      <c r="O398" s="2"/>
      <c r="P398" s="2"/>
      <c r="Q398" s="2"/>
      <c r="R398" s="2"/>
      <c r="S398" s="2"/>
      <c r="T398" s="2"/>
      <c r="U398" s="2"/>
      <c r="V398" s="2"/>
      <c r="W398" s="2"/>
      <c r="X398" s="2"/>
      <c r="Y398" s="2"/>
      <c r="Z398" s="2"/>
      <c r="AA398" s="2"/>
    </row>
    <row r="399" customFormat="false" ht="15.75" hidden="false" customHeight="false" outlineLevel="0" collapsed="false">
      <c r="A399" s="2"/>
      <c r="B399" s="2" t="s">
        <v>63</v>
      </c>
      <c r="C399" s="2" t="s">
        <v>83</v>
      </c>
      <c r="D399" s="2" t="s">
        <v>96</v>
      </c>
      <c r="E399" s="2" t="s">
        <v>93</v>
      </c>
      <c r="F399" s="2" t="s">
        <v>75</v>
      </c>
      <c r="G399" s="2"/>
      <c r="H399" s="2"/>
      <c r="I399" s="2" t="s">
        <v>83</v>
      </c>
      <c r="J399" s="2" t="s">
        <v>93</v>
      </c>
      <c r="K399" s="2" t="s">
        <v>75</v>
      </c>
      <c r="L399" s="2" t="s">
        <v>149</v>
      </c>
      <c r="M399" s="2" t="s">
        <v>66</v>
      </c>
      <c r="N399" s="2"/>
      <c r="O399" s="2"/>
      <c r="P399" s="2"/>
      <c r="Q399" s="2"/>
      <c r="R399" s="2"/>
      <c r="S399" s="2"/>
      <c r="T399" s="2"/>
      <c r="U399" s="2"/>
      <c r="V399" s="2"/>
      <c r="W399" s="2"/>
      <c r="X399" s="2"/>
      <c r="Y399" s="2"/>
      <c r="Z399" s="2"/>
      <c r="AA399" s="2"/>
    </row>
    <row r="400" customFormat="false" ht="15.75" hidden="false" customHeight="false" outlineLevel="0" collapsed="false">
      <c r="A400" s="2"/>
      <c r="B400" s="2" t="s">
        <v>83</v>
      </c>
      <c r="C400" s="2" t="s">
        <v>96</v>
      </c>
      <c r="D400" s="2" t="s">
        <v>89</v>
      </c>
      <c r="E400" s="2" t="s">
        <v>89</v>
      </c>
      <c r="F400" s="2" t="s">
        <v>96</v>
      </c>
      <c r="G400" s="2"/>
      <c r="H400" s="2"/>
      <c r="I400" s="2" t="s">
        <v>83</v>
      </c>
      <c r="J400" s="2" t="s">
        <v>66</v>
      </c>
      <c r="K400" s="2" t="s">
        <v>66</v>
      </c>
      <c r="L400" s="2" t="s">
        <v>96</v>
      </c>
      <c r="M400" s="2" t="s">
        <v>66</v>
      </c>
      <c r="N400" s="2"/>
      <c r="O400" s="2"/>
      <c r="P400" s="2"/>
      <c r="Q400" s="2"/>
      <c r="R400" s="2"/>
      <c r="S400" s="2"/>
      <c r="T400" s="2"/>
      <c r="U400" s="2"/>
      <c r="V400" s="2"/>
      <c r="W400" s="2"/>
      <c r="X400" s="2"/>
      <c r="Y400" s="2"/>
      <c r="Z400" s="2"/>
      <c r="AA400" s="2"/>
    </row>
    <row r="401" customFormat="false" ht="15.75" hidden="false" customHeight="false" outlineLevel="0" collapsed="false">
      <c r="A401" s="2"/>
      <c r="B401" s="2" t="s">
        <v>75</v>
      </c>
      <c r="C401" s="2" t="s">
        <v>75</v>
      </c>
      <c r="D401" s="2" t="s">
        <v>66</v>
      </c>
      <c r="E401" s="2" t="s">
        <v>96</v>
      </c>
      <c r="F401" s="2" t="s">
        <v>75</v>
      </c>
      <c r="G401" s="2"/>
      <c r="H401" s="2"/>
      <c r="I401" s="2" t="s">
        <v>83</v>
      </c>
      <c r="J401" s="2" t="s">
        <v>66</v>
      </c>
      <c r="K401" s="2" t="s">
        <v>66</v>
      </c>
      <c r="L401" s="2" t="s">
        <v>96</v>
      </c>
      <c r="M401" s="2" t="s">
        <v>66</v>
      </c>
      <c r="N401" s="2"/>
      <c r="O401" s="2"/>
      <c r="P401" s="2"/>
      <c r="Q401" s="2"/>
      <c r="R401" s="2"/>
      <c r="S401" s="2"/>
      <c r="T401" s="2"/>
      <c r="U401" s="2"/>
      <c r="V401" s="2"/>
      <c r="W401" s="2"/>
      <c r="X401" s="2"/>
      <c r="Y401" s="2"/>
      <c r="Z401" s="2"/>
      <c r="AA401" s="2"/>
    </row>
    <row r="402" customFormat="false" ht="15.75" hidden="false" customHeight="false" outlineLevel="0" collapsed="false">
      <c r="A402" s="2"/>
      <c r="B402" s="2" t="s">
        <v>81</v>
      </c>
      <c r="C402" s="2" t="s">
        <v>75</v>
      </c>
      <c r="D402" s="2" t="s">
        <v>66</v>
      </c>
      <c r="E402" s="2" t="s">
        <v>96</v>
      </c>
      <c r="F402" s="2" t="s">
        <v>81</v>
      </c>
      <c r="G402" s="2"/>
      <c r="H402" s="2"/>
      <c r="I402" s="2" t="s">
        <v>75</v>
      </c>
      <c r="J402" s="2" t="s">
        <v>66</v>
      </c>
      <c r="K402" s="2" t="s">
        <v>66</v>
      </c>
      <c r="L402" s="2" t="s">
        <v>81</v>
      </c>
      <c r="M402" s="2" t="s">
        <v>81</v>
      </c>
      <c r="N402" s="2"/>
      <c r="O402" s="2"/>
      <c r="P402" s="2"/>
      <c r="Q402" s="2"/>
      <c r="R402" s="2"/>
      <c r="S402" s="2"/>
      <c r="T402" s="2"/>
      <c r="U402" s="2"/>
      <c r="V402" s="2"/>
      <c r="W402" s="2"/>
      <c r="X402" s="2"/>
      <c r="Y402" s="2"/>
      <c r="Z402" s="2"/>
      <c r="AA402" s="2"/>
    </row>
    <row r="403" customFormat="false" ht="15.75" hidden="false" customHeight="false" outlineLevel="0" collapsed="false">
      <c r="A403" s="2"/>
      <c r="B403" s="2" t="s">
        <v>93</v>
      </c>
      <c r="C403" s="2" t="s">
        <v>149</v>
      </c>
      <c r="D403" s="2" t="s">
        <v>83</v>
      </c>
      <c r="E403" s="2" t="s">
        <v>83</v>
      </c>
      <c r="F403" s="2" t="s">
        <v>96</v>
      </c>
      <c r="G403" s="2"/>
      <c r="H403" s="2"/>
      <c r="I403" s="2" t="s">
        <v>75</v>
      </c>
      <c r="J403" s="2" t="s">
        <v>66</v>
      </c>
      <c r="K403" s="2" t="s">
        <v>66</v>
      </c>
      <c r="L403" s="2" t="s">
        <v>81</v>
      </c>
      <c r="M403" s="2" t="s">
        <v>81</v>
      </c>
      <c r="N403" s="2"/>
      <c r="O403" s="2"/>
      <c r="P403" s="2"/>
      <c r="Q403" s="2"/>
      <c r="R403" s="2"/>
      <c r="S403" s="2"/>
      <c r="T403" s="2"/>
      <c r="U403" s="2"/>
      <c r="V403" s="2"/>
      <c r="W403" s="2"/>
      <c r="X403" s="2"/>
      <c r="Y403" s="2"/>
      <c r="Z403" s="2"/>
      <c r="AA403" s="2"/>
    </row>
    <row r="404" customFormat="false" ht="15.75" hidden="false" customHeight="false" outlineLevel="0" collapsed="false">
      <c r="A404" s="2"/>
      <c r="B404" s="2" t="s">
        <v>93</v>
      </c>
      <c r="C404" s="2" t="s">
        <v>93</v>
      </c>
      <c r="D404" s="2" t="s">
        <v>149</v>
      </c>
      <c r="E404" s="2" t="s">
        <v>149</v>
      </c>
      <c r="F404" s="2" t="s">
        <v>63</v>
      </c>
      <c r="G404" s="2"/>
      <c r="H404" s="2"/>
      <c r="I404" s="2" t="s">
        <v>75</v>
      </c>
      <c r="J404" s="2" t="s">
        <v>93</v>
      </c>
      <c r="K404" s="2" t="s">
        <v>75</v>
      </c>
      <c r="L404" s="2" t="s">
        <v>81</v>
      </c>
      <c r="M404" s="2" t="s">
        <v>81</v>
      </c>
      <c r="N404" s="2"/>
      <c r="O404" s="2"/>
      <c r="P404" s="2"/>
      <c r="Q404" s="2"/>
      <c r="R404" s="2"/>
      <c r="S404" s="2"/>
      <c r="T404" s="2"/>
      <c r="U404" s="2"/>
      <c r="V404" s="2"/>
      <c r="W404" s="2"/>
      <c r="X404" s="2"/>
      <c r="Y404" s="2"/>
      <c r="Z404" s="2"/>
      <c r="AA404" s="2"/>
    </row>
    <row r="405" customFormat="false" ht="15.75" hidden="false" customHeight="false" outlineLevel="0" collapsed="false">
      <c r="A405" s="2"/>
      <c r="B405" s="2" t="s">
        <v>69</v>
      </c>
      <c r="C405" s="2" t="s">
        <v>69</v>
      </c>
      <c r="D405" s="2" t="s">
        <v>147</v>
      </c>
      <c r="E405" s="2" t="s">
        <v>78</v>
      </c>
      <c r="F405" s="2" t="s">
        <v>147</v>
      </c>
      <c r="G405" s="2"/>
      <c r="H405" s="2"/>
      <c r="I405" s="2" t="s">
        <v>75</v>
      </c>
      <c r="J405" s="2" t="s">
        <v>93</v>
      </c>
      <c r="K405" s="2" t="s">
        <v>75</v>
      </c>
      <c r="L405" s="2" t="s">
        <v>81</v>
      </c>
      <c r="M405" s="2" t="s">
        <v>81</v>
      </c>
      <c r="N405" s="2"/>
      <c r="O405" s="2"/>
      <c r="P405" s="2"/>
      <c r="Q405" s="2"/>
      <c r="R405" s="2"/>
      <c r="S405" s="2"/>
      <c r="T405" s="2"/>
      <c r="U405" s="2"/>
      <c r="V405" s="2"/>
      <c r="W405" s="2"/>
      <c r="X405" s="2"/>
      <c r="Y405" s="2"/>
      <c r="Z405" s="2"/>
      <c r="AA405" s="2"/>
    </row>
    <row r="406" customFormat="false" ht="15.75" hidden="false" customHeight="false" outlineLevel="0" collapsed="false">
      <c r="A406" s="2"/>
      <c r="B406" s="2" t="s">
        <v>83</v>
      </c>
      <c r="C406" s="2" t="s">
        <v>149</v>
      </c>
      <c r="D406" s="2" t="s">
        <v>63</v>
      </c>
      <c r="E406" s="2" t="s">
        <v>89</v>
      </c>
      <c r="F406" s="2" t="s">
        <v>78</v>
      </c>
      <c r="G406" s="2"/>
      <c r="H406" s="2"/>
      <c r="I406" s="2" t="s">
        <v>63</v>
      </c>
      <c r="J406" s="2" t="s">
        <v>93</v>
      </c>
      <c r="K406" s="2" t="s">
        <v>75</v>
      </c>
      <c r="L406" s="2" t="s">
        <v>96</v>
      </c>
      <c r="M406" s="2" t="s">
        <v>89</v>
      </c>
      <c r="N406" s="2"/>
      <c r="O406" s="2"/>
      <c r="P406" s="2"/>
      <c r="Q406" s="2"/>
      <c r="R406" s="2"/>
      <c r="S406" s="2"/>
      <c r="T406" s="2"/>
      <c r="U406" s="2"/>
      <c r="V406" s="2"/>
      <c r="W406" s="2"/>
      <c r="X406" s="2"/>
      <c r="Y406" s="2"/>
      <c r="Z406" s="2"/>
      <c r="AA406" s="2"/>
    </row>
    <row r="407" customFormat="false" ht="15.75" hidden="false" customHeight="false" outlineLevel="0" collapsed="false">
      <c r="A407" s="2"/>
      <c r="B407" s="2" t="s">
        <v>93</v>
      </c>
      <c r="C407" s="2" t="s">
        <v>83</v>
      </c>
      <c r="D407" s="2" t="s">
        <v>78</v>
      </c>
      <c r="E407" s="2" t="s">
        <v>93</v>
      </c>
      <c r="F407" s="2" t="s">
        <v>69</v>
      </c>
      <c r="G407" s="2"/>
      <c r="H407" s="2"/>
      <c r="I407" s="2" t="s">
        <v>63</v>
      </c>
      <c r="J407" s="2" t="s">
        <v>93</v>
      </c>
      <c r="K407" s="2" t="s">
        <v>75</v>
      </c>
      <c r="L407" s="2" t="s">
        <v>96</v>
      </c>
      <c r="M407" s="2" t="s">
        <v>89</v>
      </c>
      <c r="N407" s="2"/>
      <c r="O407" s="2"/>
      <c r="P407" s="2"/>
      <c r="Q407" s="2"/>
      <c r="R407" s="2"/>
      <c r="S407" s="2"/>
      <c r="T407" s="2"/>
      <c r="U407" s="2"/>
      <c r="V407" s="2"/>
      <c r="W407" s="2"/>
      <c r="X407" s="2"/>
      <c r="Y407" s="2"/>
      <c r="Z407" s="2"/>
      <c r="AA407" s="2"/>
    </row>
    <row r="408" customFormat="false" ht="15.75" hidden="false" customHeight="false" outlineLevel="0" collapsed="false">
      <c r="A408" s="2"/>
      <c r="B408" s="2" t="s">
        <v>72</v>
      </c>
      <c r="C408" s="2" t="s">
        <v>66</v>
      </c>
      <c r="D408" s="2" t="s">
        <v>69</v>
      </c>
      <c r="E408" s="2" t="s">
        <v>93</v>
      </c>
      <c r="F408" s="2" t="s">
        <v>83</v>
      </c>
      <c r="G408" s="2"/>
      <c r="H408" s="2"/>
      <c r="I408" s="2" t="s">
        <v>63</v>
      </c>
      <c r="J408" s="2" t="s">
        <v>66</v>
      </c>
      <c r="K408" s="2" t="s">
        <v>69</v>
      </c>
      <c r="L408" s="2" t="s">
        <v>96</v>
      </c>
      <c r="M408" s="2" t="s">
        <v>89</v>
      </c>
      <c r="N408" s="2"/>
      <c r="O408" s="2"/>
      <c r="P408" s="2"/>
      <c r="Q408" s="2"/>
      <c r="R408" s="2"/>
      <c r="S408" s="2"/>
      <c r="T408" s="2"/>
      <c r="U408" s="2"/>
      <c r="V408" s="2"/>
      <c r="W408" s="2"/>
      <c r="X408" s="2"/>
      <c r="Y408" s="2"/>
      <c r="Z408" s="2"/>
      <c r="AA408" s="2"/>
    </row>
    <row r="409" customFormat="false" ht="15.75" hidden="false" customHeight="false" outlineLevel="0" collapsed="false">
      <c r="A409" s="2"/>
      <c r="B409" s="2" t="s">
        <v>83</v>
      </c>
      <c r="C409" s="2" t="s">
        <v>89</v>
      </c>
      <c r="D409" s="2" t="s">
        <v>96</v>
      </c>
      <c r="E409" s="2" t="s">
        <v>72</v>
      </c>
      <c r="F409" s="2" t="s">
        <v>93</v>
      </c>
      <c r="G409" s="2"/>
      <c r="H409" s="2"/>
      <c r="I409" s="2" t="s">
        <v>63</v>
      </c>
      <c r="J409" s="2" t="s">
        <v>66</v>
      </c>
      <c r="K409" s="2" t="s">
        <v>69</v>
      </c>
      <c r="L409" s="2" t="s">
        <v>96</v>
      </c>
      <c r="M409" s="2" t="s">
        <v>89</v>
      </c>
      <c r="N409" s="2"/>
      <c r="O409" s="2"/>
      <c r="P409" s="2"/>
      <c r="Q409" s="2"/>
      <c r="R409" s="2"/>
      <c r="S409" s="2"/>
      <c r="T409" s="2"/>
      <c r="U409" s="2"/>
      <c r="V409" s="2"/>
      <c r="W409" s="2"/>
      <c r="X409" s="2"/>
      <c r="Y409" s="2"/>
      <c r="Z409" s="2"/>
      <c r="AA409" s="2"/>
    </row>
    <row r="410" customFormat="false" ht="15.75" hidden="false" customHeight="false" outlineLevel="0" collapsed="false">
      <c r="A410" s="2"/>
      <c r="B410" s="2" t="s">
        <v>81</v>
      </c>
      <c r="C410" s="2" t="s">
        <v>96</v>
      </c>
      <c r="D410" s="2" t="s">
        <v>63</v>
      </c>
      <c r="E410" s="2" t="s">
        <v>75</v>
      </c>
      <c r="F410" s="2" t="s">
        <v>83</v>
      </c>
      <c r="G410" s="2"/>
      <c r="H410" s="2"/>
      <c r="I410" s="2" t="s">
        <v>93</v>
      </c>
      <c r="J410" s="2" t="s">
        <v>66</v>
      </c>
      <c r="K410" s="2" t="s">
        <v>69</v>
      </c>
      <c r="L410" s="2" t="s">
        <v>66</v>
      </c>
      <c r="M410" s="2" t="s">
        <v>89</v>
      </c>
      <c r="N410" s="2"/>
      <c r="O410" s="2"/>
      <c r="P410" s="2"/>
      <c r="Q410" s="2"/>
      <c r="R410" s="2"/>
      <c r="S410" s="2"/>
      <c r="T410" s="2"/>
      <c r="U410" s="2"/>
      <c r="V410" s="2"/>
      <c r="W410" s="2"/>
      <c r="X410" s="2"/>
      <c r="Y410" s="2"/>
      <c r="Z410" s="2"/>
      <c r="AA410" s="2"/>
    </row>
    <row r="411" customFormat="false" ht="15.75" hidden="false" customHeight="false" outlineLevel="0" collapsed="false">
      <c r="A411" s="2"/>
      <c r="B411" s="2" t="s">
        <v>81</v>
      </c>
      <c r="C411" s="2" t="s">
        <v>75</v>
      </c>
      <c r="D411" s="2" t="s">
        <v>69</v>
      </c>
      <c r="E411" s="2" t="s">
        <v>149</v>
      </c>
      <c r="F411" s="2" t="s">
        <v>93</v>
      </c>
      <c r="G411" s="2"/>
      <c r="H411" s="2"/>
      <c r="I411" s="2" t="s">
        <v>93</v>
      </c>
      <c r="J411" s="2" t="s">
        <v>66</v>
      </c>
      <c r="K411" s="2" t="s">
        <v>69</v>
      </c>
      <c r="L411" s="2" t="s">
        <v>66</v>
      </c>
      <c r="M411" s="2" t="s">
        <v>89</v>
      </c>
      <c r="N411" s="2"/>
      <c r="O411" s="2"/>
      <c r="P411" s="2"/>
      <c r="Q411" s="2"/>
      <c r="R411" s="2"/>
      <c r="S411" s="2"/>
      <c r="T411" s="2"/>
      <c r="U411" s="2"/>
      <c r="V411" s="2"/>
      <c r="W411" s="2"/>
      <c r="X411" s="2"/>
      <c r="Y411" s="2"/>
      <c r="Z411" s="2"/>
      <c r="AA411" s="2"/>
    </row>
    <row r="412" customFormat="false" ht="15.75" hidden="false" customHeight="false" outlineLevel="0" collapsed="false">
      <c r="A412" s="2"/>
      <c r="B412" s="2" t="s">
        <v>83</v>
      </c>
      <c r="C412" s="2" t="s">
        <v>93</v>
      </c>
      <c r="D412" s="2" t="s">
        <v>78</v>
      </c>
      <c r="E412" s="2" t="s">
        <v>72</v>
      </c>
      <c r="F412" s="2" t="s">
        <v>66</v>
      </c>
      <c r="G412" s="2"/>
      <c r="H412" s="2"/>
      <c r="I412" s="2" t="s">
        <v>93</v>
      </c>
      <c r="J412" s="2" t="s">
        <v>96</v>
      </c>
      <c r="K412" s="2" t="s">
        <v>81</v>
      </c>
      <c r="L412" s="2" t="s">
        <v>66</v>
      </c>
      <c r="M412" s="2" t="s">
        <v>89</v>
      </c>
      <c r="N412" s="2"/>
      <c r="O412" s="2"/>
      <c r="P412" s="2"/>
      <c r="Q412" s="2"/>
      <c r="R412" s="2"/>
      <c r="S412" s="2"/>
      <c r="T412" s="2"/>
      <c r="U412" s="2"/>
      <c r="V412" s="2"/>
      <c r="W412" s="2"/>
      <c r="X412" s="2"/>
      <c r="Y412" s="2"/>
      <c r="Z412" s="2"/>
      <c r="AA412" s="2"/>
    </row>
    <row r="413" customFormat="false" ht="15.75" hidden="false" customHeight="false" outlineLevel="0" collapsed="false">
      <c r="A413" s="2"/>
      <c r="B413" s="2" t="s">
        <v>75</v>
      </c>
      <c r="C413" s="2" t="s">
        <v>93</v>
      </c>
      <c r="D413" s="2" t="s">
        <v>63</v>
      </c>
      <c r="E413" s="2" t="s">
        <v>81</v>
      </c>
      <c r="F413" s="2" t="s">
        <v>66</v>
      </c>
      <c r="G413" s="2"/>
      <c r="H413" s="2"/>
      <c r="I413" s="2" t="s">
        <v>93</v>
      </c>
      <c r="J413" s="2" t="s">
        <v>96</v>
      </c>
      <c r="K413" s="2" t="s">
        <v>81</v>
      </c>
      <c r="L413" s="2" t="s">
        <v>66</v>
      </c>
      <c r="M413" s="2" t="s">
        <v>89</v>
      </c>
      <c r="N413" s="2"/>
      <c r="O413" s="2"/>
      <c r="P413" s="2"/>
      <c r="Q413" s="2"/>
      <c r="R413" s="2"/>
      <c r="S413" s="2"/>
      <c r="T413" s="2"/>
      <c r="U413" s="2"/>
      <c r="V413" s="2"/>
      <c r="W413" s="2"/>
      <c r="X413" s="2"/>
      <c r="Y413" s="2"/>
      <c r="Z413" s="2"/>
      <c r="AA413" s="2"/>
    </row>
    <row r="414" customFormat="false" ht="15.75" hidden="false" customHeight="false" outlineLevel="0" collapsed="false">
      <c r="A414" s="2"/>
      <c r="B414" s="2" t="s">
        <v>93</v>
      </c>
      <c r="C414" s="2" t="s">
        <v>89</v>
      </c>
      <c r="D414" s="2" t="s">
        <v>66</v>
      </c>
      <c r="E414" s="2" t="s">
        <v>75</v>
      </c>
      <c r="F414" s="2" t="s">
        <v>93</v>
      </c>
      <c r="G414" s="2"/>
      <c r="H414" s="2"/>
      <c r="I414" s="2" t="s">
        <v>89</v>
      </c>
      <c r="J414" s="2" t="s">
        <v>96</v>
      </c>
      <c r="K414" s="2" t="s">
        <v>149</v>
      </c>
      <c r="L414" s="2" t="s">
        <v>69</v>
      </c>
      <c r="M414" s="2" t="s">
        <v>81</v>
      </c>
      <c r="N414" s="2"/>
      <c r="O414" s="2"/>
      <c r="P414" s="2"/>
      <c r="Q414" s="2"/>
      <c r="R414" s="2"/>
      <c r="S414" s="2"/>
      <c r="T414" s="2"/>
      <c r="U414" s="2"/>
      <c r="V414" s="2"/>
      <c r="W414" s="2"/>
      <c r="X414" s="2"/>
      <c r="Y414" s="2"/>
      <c r="Z414" s="2"/>
      <c r="AA414" s="2"/>
    </row>
    <row r="415" customFormat="false" ht="15.75" hidden="false" customHeight="false" outlineLevel="0" collapsed="false">
      <c r="A415" s="2"/>
      <c r="B415" s="2" t="s">
        <v>69</v>
      </c>
      <c r="C415" s="2" t="s">
        <v>78</v>
      </c>
      <c r="D415" s="2" t="s">
        <v>72</v>
      </c>
      <c r="E415" s="2" t="s">
        <v>83</v>
      </c>
      <c r="F415" s="2" t="s">
        <v>78</v>
      </c>
      <c r="G415" s="2"/>
      <c r="H415" s="2"/>
      <c r="I415" s="2" t="s">
        <v>89</v>
      </c>
      <c r="J415" s="2" t="s">
        <v>96</v>
      </c>
      <c r="K415" s="2" t="s">
        <v>81</v>
      </c>
      <c r="L415" s="2" t="s">
        <v>69</v>
      </c>
      <c r="M415" s="2" t="s">
        <v>81</v>
      </c>
      <c r="N415" s="2"/>
      <c r="O415" s="2"/>
      <c r="P415" s="2"/>
      <c r="Q415" s="2"/>
      <c r="R415" s="2"/>
      <c r="S415" s="2"/>
      <c r="T415" s="2"/>
      <c r="U415" s="2"/>
      <c r="V415" s="2"/>
      <c r="W415" s="2"/>
      <c r="X415" s="2"/>
      <c r="Y415" s="2"/>
      <c r="Z415" s="2"/>
      <c r="AA415" s="2"/>
    </row>
    <row r="416" customFormat="false" ht="15.75" hidden="false" customHeight="false" outlineLevel="0" collapsed="false">
      <c r="A416" s="2"/>
      <c r="B416" s="2" t="s">
        <v>83</v>
      </c>
      <c r="C416" s="2" t="s">
        <v>81</v>
      </c>
      <c r="D416" s="2" t="s">
        <v>81</v>
      </c>
      <c r="E416" s="2" t="s">
        <v>89</v>
      </c>
      <c r="F416" s="2" t="s">
        <v>81</v>
      </c>
      <c r="G416" s="2"/>
      <c r="H416" s="2"/>
      <c r="I416" s="2" t="s">
        <v>89</v>
      </c>
      <c r="J416" s="2" t="s">
        <v>83</v>
      </c>
      <c r="K416" s="2" t="s">
        <v>81</v>
      </c>
      <c r="L416" s="2" t="s">
        <v>69</v>
      </c>
      <c r="M416" s="2" t="s">
        <v>81</v>
      </c>
      <c r="N416" s="2"/>
      <c r="O416" s="2"/>
      <c r="P416" s="2"/>
      <c r="Q416" s="2"/>
      <c r="R416" s="2"/>
      <c r="S416" s="2"/>
      <c r="T416" s="2"/>
      <c r="U416" s="2"/>
      <c r="V416" s="2"/>
      <c r="W416" s="2"/>
      <c r="X416" s="2"/>
      <c r="Y416" s="2"/>
      <c r="Z416" s="2"/>
      <c r="AA416" s="2"/>
    </row>
    <row r="417" customFormat="false" ht="15.75" hidden="false" customHeight="false" outlineLevel="0" collapsed="false">
      <c r="A417" s="2"/>
      <c r="B417" s="2" t="s">
        <v>78</v>
      </c>
      <c r="C417" s="2" t="s">
        <v>69</v>
      </c>
      <c r="D417" s="2" t="s">
        <v>83</v>
      </c>
      <c r="E417" s="2" t="s">
        <v>75</v>
      </c>
      <c r="F417" s="2" t="s">
        <v>63</v>
      </c>
      <c r="G417" s="2"/>
      <c r="H417" s="2"/>
      <c r="I417" s="2" t="s">
        <v>89</v>
      </c>
      <c r="J417" s="2" t="s">
        <v>83</v>
      </c>
      <c r="K417" s="2" t="s">
        <v>83</v>
      </c>
      <c r="L417" s="2" t="s">
        <v>69</v>
      </c>
      <c r="M417" s="2" t="s">
        <v>81</v>
      </c>
      <c r="N417" s="2"/>
      <c r="O417" s="2"/>
      <c r="P417" s="2"/>
      <c r="Q417" s="2"/>
      <c r="R417" s="2"/>
      <c r="S417" s="2"/>
      <c r="T417" s="2"/>
      <c r="U417" s="2"/>
      <c r="V417" s="2"/>
      <c r="W417" s="2"/>
      <c r="X417" s="2"/>
      <c r="Y417" s="2"/>
      <c r="Z417" s="2"/>
      <c r="AA417" s="2"/>
    </row>
    <row r="418" customFormat="false" ht="15.75" hidden="false" customHeight="false" outlineLevel="0" collapsed="false">
      <c r="A418" s="2"/>
      <c r="B418" s="2" t="s">
        <v>83</v>
      </c>
      <c r="C418" s="2" t="s">
        <v>89</v>
      </c>
      <c r="D418" s="2" t="s">
        <v>78</v>
      </c>
      <c r="E418" s="2" t="s">
        <v>89</v>
      </c>
      <c r="F418" s="2" t="s">
        <v>147</v>
      </c>
      <c r="G418" s="2"/>
      <c r="H418" s="2"/>
      <c r="I418" s="2" t="s">
        <v>69</v>
      </c>
      <c r="J418" s="2" t="s">
        <v>83</v>
      </c>
      <c r="K418" s="2" t="s">
        <v>83</v>
      </c>
      <c r="L418" s="2" t="s">
        <v>89</v>
      </c>
      <c r="M418" s="2" t="s">
        <v>93</v>
      </c>
      <c r="N418" s="2"/>
      <c r="O418" s="2"/>
      <c r="P418" s="2"/>
      <c r="Q418" s="2"/>
      <c r="R418" s="2"/>
      <c r="S418" s="2"/>
      <c r="T418" s="2"/>
      <c r="U418" s="2"/>
      <c r="V418" s="2"/>
      <c r="W418" s="2"/>
      <c r="X418" s="2"/>
      <c r="Y418" s="2"/>
      <c r="Z418" s="2"/>
      <c r="AA418" s="2"/>
    </row>
    <row r="419" customFormat="false" ht="15.75" hidden="false" customHeight="false" outlineLevel="0" collapsed="false">
      <c r="A419" s="2"/>
      <c r="B419" s="2" t="s">
        <v>89</v>
      </c>
      <c r="C419" s="2" t="s">
        <v>96</v>
      </c>
      <c r="D419" s="2" t="s">
        <v>81</v>
      </c>
      <c r="E419" s="2" t="s">
        <v>75</v>
      </c>
      <c r="F419" s="2" t="s">
        <v>96</v>
      </c>
      <c r="G419" s="2"/>
      <c r="H419" s="2"/>
      <c r="I419" s="2" t="s">
        <v>69</v>
      </c>
      <c r="J419" s="2" t="s">
        <v>83</v>
      </c>
      <c r="K419" s="2" t="s">
        <v>83</v>
      </c>
      <c r="L419" s="2" t="s">
        <v>89</v>
      </c>
      <c r="M419" s="2" t="s">
        <v>93</v>
      </c>
      <c r="N419" s="2"/>
      <c r="O419" s="2"/>
      <c r="P419" s="2"/>
      <c r="Q419" s="2"/>
      <c r="R419" s="2"/>
      <c r="S419" s="2"/>
      <c r="T419" s="2"/>
      <c r="U419" s="2"/>
      <c r="V419" s="2"/>
      <c r="W419" s="2"/>
      <c r="X419" s="2"/>
      <c r="Y419" s="2"/>
      <c r="Z419" s="2"/>
      <c r="AA419" s="2"/>
    </row>
    <row r="420" customFormat="false" ht="15.75" hidden="false" customHeight="false" outlineLevel="0" collapsed="false">
      <c r="A420" s="2"/>
      <c r="B420" s="2" t="s">
        <v>83</v>
      </c>
      <c r="C420" s="2" t="s">
        <v>96</v>
      </c>
      <c r="D420" s="2" t="s">
        <v>78</v>
      </c>
      <c r="E420" s="2" t="s">
        <v>72</v>
      </c>
      <c r="F420" s="2" t="s">
        <v>89</v>
      </c>
      <c r="G420" s="2"/>
      <c r="H420" s="2"/>
      <c r="I420" s="2" t="s">
        <v>69</v>
      </c>
      <c r="J420" s="2" t="s">
        <v>75</v>
      </c>
      <c r="K420" s="2" t="s">
        <v>83</v>
      </c>
      <c r="L420" s="2" t="s">
        <v>89</v>
      </c>
      <c r="M420" s="2" t="s">
        <v>93</v>
      </c>
      <c r="N420" s="2"/>
      <c r="O420" s="2"/>
      <c r="P420" s="2"/>
      <c r="Q420" s="2"/>
      <c r="R420" s="2"/>
      <c r="S420" s="2"/>
      <c r="T420" s="2"/>
      <c r="U420" s="2"/>
      <c r="V420" s="2"/>
      <c r="W420" s="2"/>
      <c r="X420" s="2"/>
      <c r="Y420" s="2"/>
      <c r="Z420" s="2"/>
      <c r="AA420" s="2"/>
    </row>
    <row r="421" customFormat="false" ht="15.75" hidden="false" customHeight="false" outlineLevel="0" collapsed="false">
      <c r="A421" s="2"/>
      <c r="B421" s="2" t="s">
        <v>93</v>
      </c>
      <c r="C421" s="2" t="s">
        <v>149</v>
      </c>
      <c r="D421" s="2" t="s">
        <v>89</v>
      </c>
      <c r="E421" s="2" t="s">
        <v>75</v>
      </c>
      <c r="F421" s="2" t="s">
        <v>83</v>
      </c>
      <c r="G421" s="2"/>
      <c r="H421" s="2"/>
      <c r="I421" s="2" t="s">
        <v>69</v>
      </c>
      <c r="J421" s="2" t="s">
        <v>75</v>
      </c>
      <c r="K421" s="2" t="s">
        <v>93</v>
      </c>
      <c r="L421" s="2" t="s">
        <v>89</v>
      </c>
      <c r="M421" s="2" t="s">
        <v>93</v>
      </c>
      <c r="N421" s="2"/>
      <c r="O421" s="2"/>
      <c r="P421" s="2"/>
      <c r="Q421" s="2"/>
      <c r="R421" s="2"/>
      <c r="S421" s="2"/>
      <c r="T421" s="2"/>
      <c r="U421" s="2"/>
      <c r="V421" s="2"/>
      <c r="W421" s="2"/>
      <c r="X421" s="2"/>
      <c r="Y421" s="2"/>
      <c r="Z421" s="2"/>
      <c r="AA421" s="2"/>
    </row>
    <row r="422" customFormat="false" ht="15.75" hidden="false" customHeight="false" outlineLevel="0" collapsed="false">
      <c r="A422" s="2"/>
      <c r="B422" s="2" t="s">
        <v>81</v>
      </c>
      <c r="C422" s="2" t="s">
        <v>83</v>
      </c>
      <c r="D422" s="2" t="s">
        <v>93</v>
      </c>
      <c r="E422" s="2" t="s">
        <v>78</v>
      </c>
      <c r="F422" s="2" t="s">
        <v>66</v>
      </c>
      <c r="G422" s="2"/>
      <c r="H422" s="2"/>
      <c r="I422" s="2" t="s">
        <v>72</v>
      </c>
      <c r="J422" s="2" t="s">
        <v>75</v>
      </c>
      <c r="K422" s="2" t="s">
        <v>93</v>
      </c>
      <c r="L422" s="2" t="s">
        <v>93</v>
      </c>
      <c r="M422" s="2" t="s">
        <v>69</v>
      </c>
      <c r="N422" s="2"/>
      <c r="O422" s="2"/>
      <c r="P422" s="2"/>
      <c r="Q422" s="2"/>
      <c r="R422" s="2"/>
      <c r="S422" s="2"/>
      <c r="T422" s="2"/>
      <c r="U422" s="2"/>
      <c r="V422" s="2"/>
      <c r="W422" s="2"/>
      <c r="X422" s="2"/>
      <c r="Y422" s="2"/>
      <c r="Z422" s="2"/>
      <c r="AA422" s="2"/>
    </row>
    <row r="423" customFormat="false" ht="15.75" hidden="false" customHeight="false" outlineLevel="0" collapsed="false">
      <c r="A423" s="2"/>
      <c r="B423" s="2" t="s">
        <v>96</v>
      </c>
      <c r="C423" s="2" t="s">
        <v>63</v>
      </c>
      <c r="D423" s="2" t="s">
        <v>72</v>
      </c>
      <c r="E423" s="2" t="s">
        <v>81</v>
      </c>
      <c r="F423" s="2" t="s">
        <v>93</v>
      </c>
      <c r="G423" s="2"/>
      <c r="H423" s="2"/>
      <c r="I423" s="2" t="s">
        <v>72</v>
      </c>
      <c r="J423" s="2" t="s">
        <v>75</v>
      </c>
      <c r="K423" s="2" t="s">
        <v>93</v>
      </c>
      <c r="L423" s="2" t="s">
        <v>93</v>
      </c>
      <c r="M423" s="2" t="s">
        <v>69</v>
      </c>
      <c r="N423" s="2"/>
      <c r="O423" s="2"/>
      <c r="P423" s="2"/>
      <c r="Q423" s="2"/>
      <c r="R423" s="2"/>
      <c r="S423" s="2"/>
      <c r="T423" s="2"/>
      <c r="U423" s="2"/>
      <c r="V423" s="2"/>
      <c r="W423" s="2"/>
      <c r="X423" s="2"/>
      <c r="Y423" s="2"/>
      <c r="Z423" s="2"/>
      <c r="AA423" s="2"/>
    </row>
    <row r="424" customFormat="false" ht="15.75" hidden="false" customHeight="false" outlineLevel="0" collapsed="false">
      <c r="A424" s="2"/>
      <c r="B424" s="2" t="s">
        <v>66</v>
      </c>
      <c r="C424" s="2" t="s">
        <v>93</v>
      </c>
      <c r="D424" s="2" t="s">
        <v>69</v>
      </c>
      <c r="E424" s="2" t="s">
        <v>83</v>
      </c>
      <c r="F424" s="2" t="s">
        <v>69</v>
      </c>
      <c r="G424" s="2"/>
      <c r="H424" s="2"/>
      <c r="I424" s="2" t="s">
        <v>72</v>
      </c>
      <c r="J424" s="2" t="s">
        <v>96</v>
      </c>
      <c r="K424" s="2" t="s">
        <v>93</v>
      </c>
      <c r="L424" s="2" t="s">
        <v>93</v>
      </c>
      <c r="M424" s="2" t="s">
        <v>69</v>
      </c>
      <c r="N424" s="2"/>
      <c r="O424" s="2"/>
      <c r="P424" s="2"/>
      <c r="Q424" s="2"/>
      <c r="R424" s="2"/>
      <c r="S424" s="2"/>
      <c r="T424" s="2"/>
      <c r="U424" s="2"/>
      <c r="V424" s="2"/>
      <c r="W424" s="2"/>
      <c r="X424" s="2"/>
      <c r="Y424" s="2"/>
      <c r="Z424" s="2"/>
      <c r="AA424" s="2"/>
    </row>
    <row r="425" customFormat="false" ht="15.75" hidden="false" customHeight="false" outlineLevel="0" collapsed="false">
      <c r="A425" s="2"/>
      <c r="B425" s="2" t="s">
        <v>72</v>
      </c>
      <c r="C425" s="2" t="s">
        <v>72</v>
      </c>
      <c r="D425" s="2" t="s">
        <v>83</v>
      </c>
      <c r="E425" s="2" t="s">
        <v>75</v>
      </c>
      <c r="F425" s="2" t="s">
        <v>89</v>
      </c>
      <c r="G425" s="2"/>
      <c r="H425" s="2"/>
      <c r="I425" s="2" t="s">
        <v>72</v>
      </c>
      <c r="J425" s="2" t="s">
        <v>96</v>
      </c>
      <c r="K425" s="2" t="s">
        <v>72</v>
      </c>
      <c r="L425" s="2" t="s">
        <v>93</v>
      </c>
      <c r="M425" s="2" t="s">
        <v>69</v>
      </c>
      <c r="N425" s="2"/>
      <c r="O425" s="2"/>
      <c r="P425" s="2"/>
      <c r="Q425" s="2"/>
      <c r="R425" s="2"/>
      <c r="S425" s="2"/>
      <c r="T425" s="2"/>
      <c r="U425" s="2"/>
      <c r="V425" s="2"/>
      <c r="W425" s="2"/>
      <c r="X425" s="2"/>
      <c r="Y425" s="2"/>
      <c r="Z425" s="2"/>
      <c r="AA425" s="2"/>
    </row>
    <row r="426" customFormat="false" ht="15.75" hidden="false" customHeight="false" outlineLevel="0" collapsed="false">
      <c r="A426" s="2"/>
      <c r="B426" s="2" t="s">
        <v>147</v>
      </c>
      <c r="C426" s="2" t="s">
        <v>96</v>
      </c>
      <c r="D426" s="2" t="s">
        <v>78</v>
      </c>
      <c r="E426" s="2" t="s">
        <v>72</v>
      </c>
      <c r="F426" s="2" t="s">
        <v>93</v>
      </c>
      <c r="G426" s="2"/>
      <c r="H426" s="2"/>
      <c r="I426" s="2" t="s">
        <v>69</v>
      </c>
      <c r="J426" s="2" t="s">
        <v>96</v>
      </c>
      <c r="K426" s="2" t="s">
        <v>72</v>
      </c>
      <c r="L426" s="2" t="s">
        <v>96</v>
      </c>
      <c r="M426" s="2" t="s">
        <v>63</v>
      </c>
      <c r="N426" s="2"/>
      <c r="O426" s="2"/>
      <c r="P426" s="2"/>
      <c r="Q426" s="2"/>
      <c r="R426" s="2"/>
      <c r="S426" s="2"/>
      <c r="T426" s="2"/>
      <c r="U426" s="2"/>
      <c r="V426" s="2"/>
      <c r="W426" s="2"/>
      <c r="X426" s="2"/>
      <c r="Y426" s="2"/>
      <c r="Z426" s="2"/>
      <c r="AA426" s="2"/>
    </row>
    <row r="427" customFormat="false" ht="15.75" hidden="false" customHeight="false" outlineLevel="0" collapsed="false">
      <c r="A427" s="2"/>
      <c r="B427" s="2" t="s">
        <v>72</v>
      </c>
      <c r="C427" s="2" t="s">
        <v>72</v>
      </c>
      <c r="D427" s="2" t="s">
        <v>75</v>
      </c>
      <c r="E427" s="2" t="s">
        <v>149</v>
      </c>
      <c r="F427" s="2" t="s">
        <v>93</v>
      </c>
      <c r="G427" s="2"/>
      <c r="H427" s="2"/>
      <c r="I427" s="2" t="s">
        <v>69</v>
      </c>
      <c r="J427" s="2" t="s">
        <v>96</v>
      </c>
      <c r="K427" s="2" t="s">
        <v>72</v>
      </c>
      <c r="L427" s="2" t="s">
        <v>96</v>
      </c>
      <c r="M427" s="2" t="s">
        <v>63</v>
      </c>
      <c r="N427" s="2"/>
      <c r="O427" s="2"/>
      <c r="P427" s="2"/>
      <c r="Q427" s="2"/>
      <c r="R427" s="2"/>
      <c r="S427" s="2"/>
      <c r="T427" s="2"/>
      <c r="U427" s="2"/>
      <c r="V427" s="2"/>
      <c r="W427" s="2"/>
      <c r="X427" s="2"/>
      <c r="Y427" s="2"/>
      <c r="Z427" s="2"/>
      <c r="AA427" s="2"/>
    </row>
    <row r="428" customFormat="false" ht="15.75" hidden="false" customHeight="false" outlineLevel="0" collapsed="false">
      <c r="A428" s="2"/>
      <c r="B428" s="2" t="s">
        <v>78</v>
      </c>
      <c r="C428" s="2" t="s">
        <v>93</v>
      </c>
      <c r="D428" s="2" t="s">
        <v>93</v>
      </c>
      <c r="E428" s="2" t="s">
        <v>66</v>
      </c>
      <c r="F428" s="2" t="s">
        <v>72</v>
      </c>
      <c r="G428" s="2"/>
      <c r="H428" s="2"/>
      <c r="I428" s="2" t="s">
        <v>69</v>
      </c>
      <c r="J428" s="2" t="s">
        <v>75</v>
      </c>
      <c r="K428" s="2" t="s">
        <v>72</v>
      </c>
      <c r="L428" s="2" t="s">
        <v>96</v>
      </c>
      <c r="M428" s="2" t="s">
        <v>63</v>
      </c>
      <c r="N428" s="2"/>
      <c r="O428" s="2"/>
      <c r="P428" s="2"/>
      <c r="Q428" s="2"/>
      <c r="R428" s="2"/>
      <c r="S428" s="2"/>
      <c r="T428" s="2"/>
      <c r="U428" s="2"/>
      <c r="V428" s="2"/>
      <c r="W428" s="2"/>
      <c r="X428" s="2"/>
      <c r="Y428" s="2"/>
      <c r="Z428" s="2"/>
      <c r="AA428" s="2"/>
    </row>
    <row r="429" customFormat="false" ht="15.75" hidden="false" customHeight="false" outlineLevel="0" collapsed="false">
      <c r="A429" s="2"/>
      <c r="B429" s="2" t="s">
        <v>75</v>
      </c>
      <c r="C429" s="2" t="s">
        <v>78</v>
      </c>
      <c r="D429" s="2" t="s">
        <v>66</v>
      </c>
      <c r="E429" s="2" t="s">
        <v>89</v>
      </c>
      <c r="F429" s="2" t="s">
        <v>89</v>
      </c>
      <c r="G429" s="2"/>
      <c r="H429" s="2"/>
      <c r="I429" s="2" t="s">
        <v>69</v>
      </c>
      <c r="J429" s="2" t="s">
        <v>75</v>
      </c>
      <c r="K429" s="2" t="s">
        <v>89</v>
      </c>
      <c r="L429" s="2" t="s">
        <v>96</v>
      </c>
      <c r="M429" s="2" t="s">
        <v>63</v>
      </c>
      <c r="N429" s="2"/>
      <c r="O429" s="2"/>
      <c r="P429" s="2"/>
      <c r="Q429" s="2"/>
      <c r="R429" s="2"/>
      <c r="S429" s="2"/>
      <c r="T429" s="2"/>
      <c r="U429" s="2"/>
      <c r="V429" s="2"/>
      <c r="W429" s="2"/>
      <c r="X429" s="2"/>
      <c r="Y429" s="2"/>
      <c r="Z429" s="2"/>
      <c r="AA429" s="2"/>
    </row>
    <row r="430" customFormat="false" ht="15.75" hidden="false" customHeight="false" outlineLevel="0" collapsed="false">
      <c r="A430" s="2"/>
      <c r="B430" s="2" t="s">
        <v>93</v>
      </c>
      <c r="C430" s="2" t="s">
        <v>96</v>
      </c>
      <c r="D430" s="2" t="s">
        <v>72</v>
      </c>
      <c r="E430" s="2" t="s">
        <v>93</v>
      </c>
      <c r="F430" s="2" t="s">
        <v>75</v>
      </c>
      <c r="G430" s="2"/>
      <c r="H430" s="2"/>
      <c r="I430" s="2" t="s">
        <v>69</v>
      </c>
      <c r="J430" s="2" t="s">
        <v>75</v>
      </c>
      <c r="K430" s="2" t="s">
        <v>89</v>
      </c>
      <c r="L430" s="2" t="s">
        <v>83</v>
      </c>
      <c r="M430" s="2" t="s">
        <v>83</v>
      </c>
      <c r="N430" s="2"/>
      <c r="O430" s="2"/>
      <c r="P430" s="2"/>
      <c r="Q430" s="2"/>
      <c r="R430" s="2"/>
      <c r="S430" s="2"/>
      <c r="T430" s="2"/>
      <c r="U430" s="2"/>
      <c r="V430" s="2"/>
      <c r="W430" s="2"/>
      <c r="X430" s="2"/>
      <c r="Y430" s="2"/>
      <c r="Z430" s="2"/>
      <c r="AA430" s="2"/>
    </row>
    <row r="431" customFormat="false" ht="15.75" hidden="false" customHeight="false" outlineLevel="0" collapsed="false">
      <c r="A431" s="2"/>
      <c r="B431" s="2" t="s">
        <v>69</v>
      </c>
      <c r="C431" s="2" t="s">
        <v>83</v>
      </c>
      <c r="D431" s="2" t="s">
        <v>75</v>
      </c>
      <c r="E431" s="2" t="s">
        <v>75</v>
      </c>
      <c r="F431" s="2" t="s">
        <v>63</v>
      </c>
      <c r="G431" s="2"/>
      <c r="H431" s="2"/>
      <c r="I431" s="2" t="s">
        <v>69</v>
      </c>
      <c r="J431" s="2" t="s">
        <v>75</v>
      </c>
      <c r="K431" s="2" t="s">
        <v>89</v>
      </c>
      <c r="L431" s="2" t="s">
        <v>83</v>
      </c>
      <c r="M431" s="2" t="s">
        <v>83</v>
      </c>
      <c r="N431" s="2"/>
      <c r="O431" s="2"/>
      <c r="P431" s="2"/>
      <c r="Q431" s="2"/>
      <c r="R431" s="2"/>
      <c r="S431" s="2"/>
      <c r="T431" s="2"/>
      <c r="U431" s="2"/>
      <c r="V431" s="2"/>
      <c r="W431" s="2"/>
      <c r="X431" s="2"/>
      <c r="Y431" s="2"/>
      <c r="Z431" s="2"/>
      <c r="AA431" s="2"/>
    </row>
    <row r="432" customFormat="false" ht="15.75" hidden="false" customHeight="false" outlineLevel="0" collapsed="false">
      <c r="A432" s="2"/>
      <c r="B432" s="2" t="s">
        <v>93</v>
      </c>
      <c r="C432" s="2" t="s">
        <v>75</v>
      </c>
      <c r="D432" s="2" t="s">
        <v>147</v>
      </c>
      <c r="E432" s="2" t="s">
        <v>93</v>
      </c>
      <c r="F432" s="2" t="s">
        <v>89</v>
      </c>
      <c r="G432" s="2"/>
      <c r="H432" s="2"/>
      <c r="I432" s="2" t="s">
        <v>69</v>
      </c>
      <c r="J432" s="2" t="s">
        <v>81</v>
      </c>
      <c r="K432" s="2" t="s">
        <v>89</v>
      </c>
      <c r="L432" s="2" t="s">
        <v>83</v>
      </c>
      <c r="M432" s="2" t="s">
        <v>89</v>
      </c>
      <c r="N432" s="2"/>
      <c r="O432" s="2"/>
      <c r="P432" s="2"/>
      <c r="Q432" s="2"/>
      <c r="R432" s="2"/>
      <c r="S432" s="2"/>
      <c r="T432" s="2"/>
      <c r="U432" s="2"/>
      <c r="V432" s="2"/>
      <c r="W432" s="2"/>
      <c r="X432" s="2"/>
      <c r="Y432" s="2"/>
      <c r="Z432" s="2"/>
      <c r="AA432" s="2"/>
    </row>
    <row r="433" customFormat="false" ht="15.75" hidden="false" customHeight="false" outlineLevel="0" collapsed="false">
      <c r="A433" s="2"/>
      <c r="B433" s="2" t="s">
        <v>96</v>
      </c>
      <c r="C433" s="2" t="s">
        <v>75</v>
      </c>
      <c r="D433" s="2" t="s">
        <v>83</v>
      </c>
      <c r="E433" s="2" t="s">
        <v>63</v>
      </c>
      <c r="F433" s="2" t="s">
        <v>63</v>
      </c>
      <c r="G433" s="2"/>
      <c r="H433" s="2"/>
      <c r="I433" s="2" t="s">
        <v>69</v>
      </c>
      <c r="J433" s="2" t="s">
        <v>81</v>
      </c>
      <c r="K433" s="2" t="s">
        <v>93</v>
      </c>
      <c r="L433" s="2" t="s">
        <v>83</v>
      </c>
      <c r="M433" s="2" t="s">
        <v>89</v>
      </c>
      <c r="N433" s="2"/>
      <c r="O433" s="2"/>
      <c r="P433" s="2"/>
      <c r="Q433" s="2"/>
      <c r="R433" s="2"/>
      <c r="S433" s="2"/>
      <c r="T433" s="2"/>
      <c r="U433" s="2"/>
      <c r="V433" s="2"/>
      <c r="W433" s="2"/>
      <c r="X433" s="2"/>
      <c r="Y433" s="2"/>
      <c r="Z433" s="2"/>
      <c r="AA433" s="2"/>
    </row>
    <row r="434" customFormat="false" ht="15.75" hidden="false" customHeight="false" outlineLevel="0" collapsed="false">
      <c r="A434" s="2"/>
      <c r="B434" s="2" t="s">
        <v>72</v>
      </c>
      <c r="C434" s="2" t="s">
        <v>89</v>
      </c>
      <c r="D434" s="2" t="s">
        <v>63</v>
      </c>
      <c r="E434" s="2" t="s">
        <v>96</v>
      </c>
      <c r="F434" s="2" t="s">
        <v>96</v>
      </c>
      <c r="G434" s="2"/>
      <c r="H434" s="2"/>
      <c r="I434" s="2" t="s">
        <v>93</v>
      </c>
      <c r="J434" s="2" t="s">
        <v>81</v>
      </c>
      <c r="K434" s="2" t="s">
        <v>93</v>
      </c>
      <c r="L434" s="2" t="s">
        <v>78</v>
      </c>
      <c r="M434" s="2" t="s">
        <v>89</v>
      </c>
      <c r="N434" s="2"/>
      <c r="O434" s="2"/>
      <c r="P434" s="2"/>
      <c r="Q434" s="2"/>
      <c r="R434" s="2"/>
      <c r="S434" s="2"/>
      <c r="T434" s="2"/>
      <c r="U434" s="2"/>
      <c r="V434" s="2"/>
      <c r="W434" s="2"/>
      <c r="X434" s="2"/>
      <c r="Y434" s="2"/>
      <c r="Z434" s="2"/>
      <c r="AA434" s="2"/>
    </row>
    <row r="435" customFormat="false" ht="15.75" hidden="false" customHeight="false" outlineLevel="0" collapsed="false">
      <c r="A435" s="2"/>
      <c r="B435" s="2" t="s">
        <v>78</v>
      </c>
      <c r="C435" s="2" t="s">
        <v>89</v>
      </c>
      <c r="D435" s="2" t="s">
        <v>72</v>
      </c>
      <c r="E435" s="2" t="s">
        <v>93</v>
      </c>
      <c r="F435" s="2" t="s">
        <v>89</v>
      </c>
      <c r="G435" s="2"/>
      <c r="H435" s="2"/>
      <c r="I435" s="2" t="s">
        <v>93</v>
      </c>
      <c r="J435" s="2" t="s">
        <v>81</v>
      </c>
      <c r="K435" s="2" t="s">
        <v>93</v>
      </c>
      <c r="L435" s="2" t="s">
        <v>78</v>
      </c>
      <c r="M435" s="2" t="s">
        <v>89</v>
      </c>
      <c r="N435" s="2"/>
      <c r="O435" s="2"/>
      <c r="P435" s="2"/>
      <c r="Q435" s="2"/>
      <c r="R435" s="2"/>
      <c r="S435" s="2"/>
      <c r="T435" s="2"/>
      <c r="U435" s="2"/>
      <c r="V435" s="2"/>
      <c r="W435" s="2"/>
      <c r="X435" s="2"/>
      <c r="Y435" s="2"/>
      <c r="Z435" s="2"/>
      <c r="AA435" s="2"/>
    </row>
    <row r="436" customFormat="false" ht="15.75" hidden="false" customHeight="false" outlineLevel="0" collapsed="false">
      <c r="A436" s="2"/>
      <c r="B436" s="2" t="s">
        <v>78</v>
      </c>
      <c r="C436" s="2" t="s">
        <v>96</v>
      </c>
      <c r="D436" s="2" t="s">
        <v>72</v>
      </c>
      <c r="E436" s="2" t="s">
        <v>66</v>
      </c>
      <c r="F436" s="2" t="s">
        <v>93</v>
      </c>
      <c r="G436" s="2"/>
      <c r="H436" s="2"/>
      <c r="I436" s="2" t="s">
        <v>93</v>
      </c>
      <c r="J436" s="2" t="s">
        <v>63</v>
      </c>
      <c r="K436" s="2" t="s">
        <v>93</v>
      </c>
      <c r="L436" s="2" t="s">
        <v>78</v>
      </c>
      <c r="M436" s="2" t="s">
        <v>78</v>
      </c>
      <c r="N436" s="2"/>
      <c r="O436" s="2"/>
      <c r="P436" s="2"/>
      <c r="Q436" s="2"/>
      <c r="R436" s="2"/>
      <c r="S436" s="2"/>
      <c r="T436" s="2"/>
      <c r="U436" s="2"/>
      <c r="V436" s="2"/>
      <c r="W436" s="2"/>
      <c r="X436" s="2"/>
      <c r="Y436" s="2"/>
      <c r="Z436" s="2"/>
      <c r="AA436" s="2"/>
    </row>
    <row r="437" customFormat="false" ht="15.75" hidden="false" customHeight="false" outlineLevel="0" collapsed="false">
      <c r="A437" s="2"/>
      <c r="B437" s="2" t="s">
        <v>96</v>
      </c>
      <c r="C437" s="2" t="s">
        <v>83</v>
      </c>
      <c r="D437" s="2" t="s">
        <v>75</v>
      </c>
      <c r="E437" s="2" t="s">
        <v>96</v>
      </c>
      <c r="F437" s="2" t="s">
        <v>83</v>
      </c>
      <c r="G437" s="2"/>
      <c r="H437" s="2"/>
      <c r="I437" s="2" t="s">
        <v>93</v>
      </c>
      <c r="J437" s="2" t="s">
        <v>63</v>
      </c>
      <c r="K437" s="2" t="s">
        <v>93</v>
      </c>
      <c r="L437" s="2" t="s">
        <v>78</v>
      </c>
      <c r="M437" s="2" t="s">
        <v>78</v>
      </c>
      <c r="N437" s="2"/>
      <c r="O437" s="2"/>
      <c r="P437" s="2"/>
      <c r="Q437" s="2"/>
      <c r="R437" s="2"/>
      <c r="S437" s="2"/>
      <c r="T437" s="2"/>
      <c r="U437" s="2"/>
      <c r="V437" s="2"/>
      <c r="W437" s="2"/>
      <c r="X437" s="2"/>
      <c r="Y437" s="2"/>
      <c r="Z437" s="2"/>
      <c r="AA437" s="2"/>
    </row>
    <row r="438" customFormat="false" ht="15.75" hidden="false" customHeight="false" outlineLevel="0" collapsed="false">
      <c r="A438" s="2"/>
      <c r="B438" s="2" t="s">
        <v>89</v>
      </c>
      <c r="C438" s="2" t="s">
        <v>89</v>
      </c>
      <c r="D438" s="2" t="s">
        <v>63</v>
      </c>
      <c r="E438" s="2" t="s">
        <v>66</v>
      </c>
      <c r="F438" s="2" t="s">
        <v>83</v>
      </c>
      <c r="G438" s="2"/>
      <c r="H438" s="2"/>
      <c r="I438" s="2" t="s">
        <v>93</v>
      </c>
      <c r="J438" s="2" t="s">
        <v>63</v>
      </c>
      <c r="K438" s="2" t="s">
        <v>93</v>
      </c>
      <c r="L438" s="2" t="s">
        <v>72</v>
      </c>
      <c r="M438" s="2" t="s">
        <v>78</v>
      </c>
      <c r="N438" s="2"/>
      <c r="O438" s="2"/>
      <c r="P438" s="2"/>
      <c r="Q438" s="2"/>
      <c r="R438" s="2"/>
      <c r="S438" s="2"/>
      <c r="T438" s="2"/>
      <c r="U438" s="2"/>
      <c r="V438" s="2"/>
      <c r="W438" s="2"/>
      <c r="X438" s="2"/>
      <c r="Y438" s="2"/>
      <c r="Z438" s="2"/>
      <c r="AA438" s="2"/>
    </row>
    <row r="439" customFormat="false" ht="15.75" hidden="false" customHeight="false" outlineLevel="0" collapsed="false">
      <c r="A439" s="2"/>
      <c r="B439" s="2" t="s">
        <v>63</v>
      </c>
      <c r="C439" s="2" t="s">
        <v>72</v>
      </c>
      <c r="D439" s="2" t="s">
        <v>83</v>
      </c>
      <c r="E439" s="2" t="s">
        <v>96</v>
      </c>
      <c r="F439" s="2" t="s">
        <v>93</v>
      </c>
      <c r="G439" s="2"/>
      <c r="H439" s="2"/>
      <c r="I439" s="2" t="s">
        <v>93</v>
      </c>
      <c r="J439" s="2" t="s">
        <v>63</v>
      </c>
      <c r="K439" s="2" t="s">
        <v>93</v>
      </c>
      <c r="L439" s="2" t="s">
        <v>72</v>
      </c>
      <c r="M439" s="2" t="s">
        <v>78</v>
      </c>
      <c r="N439" s="2"/>
      <c r="O439" s="2"/>
      <c r="P439" s="2"/>
      <c r="Q439" s="2"/>
      <c r="R439" s="2"/>
      <c r="S439" s="2"/>
      <c r="T439" s="2"/>
      <c r="U439" s="2"/>
      <c r="V439" s="2"/>
      <c r="W439" s="2"/>
      <c r="X439" s="2"/>
      <c r="Y439" s="2"/>
      <c r="Z439" s="2"/>
      <c r="AA439" s="2"/>
    </row>
    <row r="440" customFormat="false" ht="15.75" hidden="false" customHeight="false" outlineLevel="0" collapsed="false">
      <c r="A440" s="2"/>
      <c r="B440" s="2" t="s">
        <v>63</v>
      </c>
      <c r="C440" s="2" t="s">
        <v>69</v>
      </c>
      <c r="D440" s="2" t="s">
        <v>93</v>
      </c>
      <c r="E440" s="2" t="s">
        <v>69</v>
      </c>
      <c r="F440" s="2" t="s">
        <v>75</v>
      </c>
      <c r="G440" s="2"/>
      <c r="H440" s="2"/>
      <c r="I440" s="2" t="s">
        <v>93</v>
      </c>
      <c r="J440" s="2" t="s">
        <v>149</v>
      </c>
      <c r="K440" s="2" t="s">
        <v>93</v>
      </c>
      <c r="L440" s="2" t="s">
        <v>72</v>
      </c>
      <c r="M440" s="2" t="s">
        <v>69</v>
      </c>
      <c r="N440" s="2"/>
      <c r="O440" s="2"/>
      <c r="P440" s="2"/>
      <c r="Q440" s="2"/>
      <c r="R440" s="2"/>
      <c r="S440" s="2"/>
      <c r="T440" s="2"/>
      <c r="U440" s="2"/>
      <c r="V440" s="2"/>
      <c r="W440" s="2"/>
      <c r="X440" s="2"/>
      <c r="Y440" s="2"/>
      <c r="Z440" s="2"/>
      <c r="AA440" s="2"/>
    </row>
    <row r="441" customFormat="false" ht="15.75" hidden="false" customHeight="false" outlineLevel="0" collapsed="false">
      <c r="A441" s="2"/>
      <c r="B441" s="2" t="s">
        <v>72</v>
      </c>
      <c r="C441" s="2" t="s">
        <v>63</v>
      </c>
      <c r="D441" s="2" t="s">
        <v>83</v>
      </c>
      <c r="E441" s="2" t="s">
        <v>93</v>
      </c>
      <c r="F441" s="2" t="s">
        <v>72</v>
      </c>
      <c r="G441" s="2"/>
      <c r="H441" s="2"/>
      <c r="I441" s="2" t="s">
        <v>93</v>
      </c>
      <c r="J441" s="2" t="s">
        <v>89</v>
      </c>
      <c r="K441" s="2" t="s">
        <v>93</v>
      </c>
      <c r="L441" s="2" t="s">
        <v>72</v>
      </c>
      <c r="M441" s="2" t="s">
        <v>69</v>
      </c>
      <c r="N441" s="2"/>
      <c r="O441" s="2"/>
      <c r="P441" s="2"/>
      <c r="Q441" s="2"/>
      <c r="R441" s="2"/>
      <c r="S441" s="2"/>
      <c r="T441" s="2"/>
      <c r="U441" s="2"/>
      <c r="V441" s="2"/>
      <c r="W441" s="2"/>
      <c r="X441" s="2"/>
      <c r="Y441" s="2"/>
      <c r="Z441" s="2"/>
      <c r="AA441" s="2"/>
    </row>
    <row r="442" customFormat="false" ht="15.75" hidden="false" customHeight="false" outlineLevel="0" collapsed="false">
      <c r="A442" s="2"/>
      <c r="B442" s="2" t="s">
        <v>78</v>
      </c>
      <c r="C442" s="2" t="s">
        <v>78</v>
      </c>
      <c r="D442" s="2" t="s">
        <v>93</v>
      </c>
      <c r="E442" s="2" t="s">
        <v>78</v>
      </c>
      <c r="F442" s="2" t="s">
        <v>96</v>
      </c>
      <c r="G442" s="2"/>
      <c r="H442" s="2"/>
      <c r="I442" s="2" t="s">
        <v>93</v>
      </c>
      <c r="J442" s="2" t="s">
        <v>89</v>
      </c>
      <c r="K442" s="2" t="s">
        <v>93</v>
      </c>
      <c r="L442" s="2" t="s">
        <v>93</v>
      </c>
      <c r="M442" s="2" t="s">
        <v>72</v>
      </c>
      <c r="N442" s="2"/>
      <c r="O442" s="2"/>
      <c r="P442" s="2"/>
      <c r="Q442" s="2"/>
      <c r="R442" s="2"/>
      <c r="S442" s="2"/>
      <c r="T442" s="2"/>
      <c r="U442" s="2"/>
      <c r="V442" s="2"/>
      <c r="W442" s="2"/>
      <c r="X442" s="2"/>
      <c r="Y442" s="2"/>
      <c r="Z442" s="2"/>
      <c r="AA442" s="2"/>
    </row>
    <row r="443" customFormat="false" ht="15.75" hidden="false" customHeight="false" outlineLevel="0" collapsed="false">
      <c r="A443" s="2"/>
      <c r="B443" s="2" t="s">
        <v>93</v>
      </c>
      <c r="C443" s="2" t="s">
        <v>93</v>
      </c>
      <c r="D443" s="2" t="s">
        <v>72</v>
      </c>
      <c r="E443" s="2" t="s">
        <v>72</v>
      </c>
      <c r="F443" s="2" t="s">
        <v>96</v>
      </c>
      <c r="G443" s="2"/>
      <c r="H443" s="2"/>
      <c r="I443" s="2" t="s">
        <v>93</v>
      </c>
      <c r="J443" s="2" t="s">
        <v>89</v>
      </c>
      <c r="K443" s="2" t="s">
        <v>93</v>
      </c>
      <c r="L443" s="2" t="s">
        <v>93</v>
      </c>
      <c r="M443" s="2" t="s">
        <v>72</v>
      </c>
      <c r="N443" s="2"/>
      <c r="O443" s="2"/>
      <c r="P443" s="2"/>
      <c r="Q443" s="2"/>
      <c r="R443" s="2"/>
      <c r="S443" s="2"/>
      <c r="T443" s="2"/>
      <c r="U443" s="2"/>
      <c r="V443" s="2"/>
      <c r="W443" s="2"/>
      <c r="X443" s="2"/>
      <c r="Y443" s="2"/>
      <c r="Z443" s="2"/>
      <c r="AA443" s="2"/>
    </row>
    <row r="444" customFormat="false" ht="15.75" hidden="false" customHeight="false" outlineLevel="0" collapsed="false">
      <c r="A444" s="2"/>
      <c r="B444" s="2" t="s">
        <v>147</v>
      </c>
      <c r="C444" s="2" t="s">
        <v>72</v>
      </c>
      <c r="D444" s="2" t="s">
        <v>96</v>
      </c>
      <c r="E444" s="2" t="s">
        <v>89</v>
      </c>
      <c r="F444" s="2" t="s">
        <v>89</v>
      </c>
      <c r="G444" s="2"/>
      <c r="H444" s="2"/>
      <c r="I444" s="2" t="s">
        <v>93</v>
      </c>
      <c r="J444" s="2" t="s">
        <v>89</v>
      </c>
      <c r="K444" s="2" t="s">
        <v>93</v>
      </c>
      <c r="L444" s="2" t="s">
        <v>93</v>
      </c>
      <c r="M444" s="2" t="s">
        <v>72</v>
      </c>
      <c r="N444" s="2"/>
      <c r="O444" s="2"/>
      <c r="P444" s="2"/>
      <c r="Q444" s="2"/>
      <c r="R444" s="2"/>
      <c r="S444" s="2"/>
      <c r="T444" s="2"/>
      <c r="U444" s="2"/>
      <c r="V444" s="2"/>
      <c r="W444" s="2"/>
      <c r="X444" s="2"/>
      <c r="Y444" s="2"/>
      <c r="Z444" s="2"/>
      <c r="AA444" s="2"/>
    </row>
    <row r="445" customFormat="false" ht="15.75" hidden="false" customHeight="false" outlineLevel="0" collapsed="false">
      <c r="A445" s="2"/>
      <c r="B445" s="2" t="s">
        <v>96</v>
      </c>
      <c r="C445" s="2" t="s">
        <v>75</v>
      </c>
      <c r="D445" s="2" t="s">
        <v>149</v>
      </c>
      <c r="E445" s="2" t="s">
        <v>89</v>
      </c>
      <c r="F445" s="2" t="s">
        <v>93</v>
      </c>
      <c r="G445" s="2"/>
      <c r="H445" s="2"/>
      <c r="I445" s="2" t="s">
        <v>93</v>
      </c>
      <c r="J445" s="2" t="s">
        <v>83</v>
      </c>
      <c r="K445" s="2" t="s">
        <v>75</v>
      </c>
      <c r="L445" s="2" t="s">
        <v>93</v>
      </c>
      <c r="M445" s="2" t="s">
        <v>72</v>
      </c>
      <c r="N445" s="2"/>
      <c r="O445" s="2"/>
      <c r="P445" s="2"/>
      <c r="Q445" s="2"/>
      <c r="R445" s="2"/>
      <c r="S445" s="2"/>
      <c r="T445" s="2"/>
      <c r="U445" s="2"/>
      <c r="V445" s="2"/>
      <c r="W445" s="2"/>
      <c r="X445" s="2"/>
      <c r="Y445" s="2"/>
      <c r="Z445" s="2"/>
      <c r="AA445" s="2"/>
    </row>
    <row r="446" customFormat="false" ht="15.75" hidden="false" customHeight="false" outlineLevel="0" collapsed="false">
      <c r="A446" s="2"/>
      <c r="B446" s="2" t="s">
        <v>93</v>
      </c>
      <c r="C446" s="2" t="s">
        <v>83</v>
      </c>
      <c r="D446" s="2" t="s">
        <v>81</v>
      </c>
      <c r="E446" s="2" t="s">
        <v>89</v>
      </c>
      <c r="F446" s="2" t="s">
        <v>72</v>
      </c>
      <c r="G446" s="2"/>
      <c r="H446" s="2"/>
      <c r="I446" s="2" t="s">
        <v>72</v>
      </c>
      <c r="J446" s="2" t="s">
        <v>83</v>
      </c>
      <c r="K446" s="2" t="s">
        <v>75</v>
      </c>
      <c r="L446" s="2" t="s">
        <v>66</v>
      </c>
      <c r="M446" s="2" t="s">
        <v>83</v>
      </c>
      <c r="N446" s="2"/>
      <c r="O446" s="2"/>
      <c r="P446" s="2"/>
      <c r="Q446" s="2"/>
      <c r="R446" s="2"/>
      <c r="S446" s="2"/>
      <c r="T446" s="2"/>
      <c r="U446" s="2"/>
      <c r="V446" s="2"/>
      <c r="W446" s="2"/>
      <c r="X446" s="2"/>
      <c r="Y446" s="2"/>
      <c r="Z446" s="2"/>
      <c r="AA446" s="2"/>
    </row>
    <row r="447" customFormat="false" ht="15.75" hidden="false" customHeight="false" outlineLevel="0" collapsed="false">
      <c r="A447" s="2"/>
      <c r="B447" s="2" t="s">
        <v>96</v>
      </c>
      <c r="C447" s="2" t="s">
        <v>96</v>
      </c>
      <c r="D447" s="2" t="s">
        <v>69</v>
      </c>
      <c r="E447" s="2" t="s">
        <v>89</v>
      </c>
      <c r="F447" s="2" t="s">
        <v>72</v>
      </c>
      <c r="G447" s="2"/>
      <c r="H447" s="2"/>
      <c r="I447" s="2" t="s">
        <v>72</v>
      </c>
      <c r="J447" s="2" t="s">
        <v>83</v>
      </c>
      <c r="K447" s="2" t="s">
        <v>75</v>
      </c>
      <c r="L447" s="2" t="s">
        <v>66</v>
      </c>
      <c r="M447" s="2" t="s">
        <v>83</v>
      </c>
      <c r="N447" s="2"/>
      <c r="O447" s="2"/>
      <c r="P447" s="2"/>
      <c r="Q447" s="2"/>
      <c r="R447" s="2"/>
      <c r="S447" s="2"/>
      <c r="T447" s="2"/>
      <c r="U447" s="2"/>
      <c r="V447" s="2"/>
      <c r="W447" s="2"/>
      <c r="X447" s="2"/>
      <c r="Y447" s="2"/>
      <c r="Z447" s="2"/>
      <c r="AA447" s="2"/>
    </row>
    <row r="448" customFormat="false" ht="15.75" hidden="false" customHeight="false" outlineLevel="0" collapsed="false">
      <c r="A448" s="2"/>
      <c r="B448" s="2" t="s">
        <v>93</v>
      </c>
      <c r="C448" s="2" t="s">
        <v>96</v>
      </c>
      <c r="D448" s="2" t="s">
        <v>89</v>
      </c>
      <c r="E448" s="2" t="s">
        <v>93</v>
      </c>
      <c r="F448" s="2" t="s">
        <v>75</v>
      </c>
      <c r="G448" s="2"/>
      <c r="H448" s="2"/>
      <c r="I448" s="2" t="s">
        <v>72</v>
      </c>
      <c r="J448" s="2" t="s">
        <v>83</v>
      </c>
      <c r="K448" s="2" t="s">
        <v>75</v>
      </c>
      <c r="L448" s="2" t="s">
        <v>66</v>
      </c>
      <c r="M448" s="2" t="s">
        <v>83</v>
      </c>
      <c r="N448" s="2"/>
      <c r="O448" s="2"/>
      <c r="P448" s="2"/>
      <c r="Q448" s="2"/>
      <c r="R448" s="2"/>
      <c r="S448" s="2"/>
      <c r="T448" s="2"/>
      <c r="U448" s="2"/>
      <c r="V448" s="2"/>
      <c r="W448" s="2"/>
      <c r="X448" s="2"/>
      <c r="Y448" s="2"/>
      <c r="Z448" s="2"/>
      <c r="AA448" s="2"/>
    </row>
    <row r="449" customFormat="false" ht="15.75" hidden="false" customHeight="false" outlineLevel="0" collapsed="false">
      <c r="A449" s="2"/>
      <c r="B449" s="2" t="s">
        <v>96</v>
      </c>
      <c r="C449" s="2" t="s">
        <v>93</v>
      </c>
      <c r="D449" s="2" t="s">
        <v>72</v>
      </c>
      <c r="E449" s="2" t="s">
        <v>83</v>
      </c>
      <c r="F449" s="2" t="s">
        <v>63</v>
      </c>
      <c r="G449" s="2"/>
      <c r="H449" s="2"/>
      <c r="I449" s="2" t="s">
        <v>72</v>
      </c>
      <c r="J449" s="2" t="s">
        <v>96</v>
      </c>
      <c r="K449" s="2" t="s">
        <v>72</v>
      </c>
      <c r="L449" s="2" t="s">
        <v>66</v>
      </c>
      <c r="M449" s="2" t="s">
        <v>83</v>
      </c>
      <c r="N449" s="2"/>
      <c r="O449" s="2"/>
      <c r="P449" s="2"/>
      <c r="Q449" s="2"/>
      <c r="R449" s="2"/>
      <c r="S449" s="2"/>
      <c r="T449" s="2"/>
      <c r="U449" s="2"/>
      <c r="V449" s="2"/>
      <c r="W449" s="2"/>
      <c r="X449" s="2"/>
      <c r="Y449" s="2"/>
      <c r="Z449" s="2"/>
      <c r="AA449" s="2"/>
    </row>
    <row r="450" customFormat="false" ht="15.75" hidden="false" customHeight="false" outlineLevel="0" collapsed="false">
      <c r="A450" s="2"/>
      <c r="B450" s="2" t="s">
        <v>147</v>
      </c>
      <c r="C450" s="2" t="s">
        <v>93</v>
      </c>
      <c r="D450" s="2" t="s">
        <v>75</v>
      </c>
      <c r="E450" s="2" t="s">
        <v>89</v>
      </c>
      <c r="F450" s="2" t="s">
        <v>69</v>
      </c>
      <c r="G450" s="2"/>
      <c r="H450" s="2"/>
      <c r="I450" s="2"/>
      <c r="J450" s="2" t="s">
        <v>96</v>
      </c>
      <c r="K450" s="2" t="s">
        <v>72</v>
      </c>
      <c r="L450" s="2" t="s">
        <v>93</v>
      </c>
      <c r="M450" s="2"/>
      <c r="N450" s="2"/>
      <c r="O450" s="2"/>
      <c r="P450" s="2"/>
      <c r="Q450" s="2"/>
      <c r="R450" s="2"/>
      <c r="S450" s="2"/>
      <c r="T450" s="2"/>
      <c r="U450" s="2"/>
      <c r="V450" s="2"/>
      <c r="W450" s="2"/>
      <c r="X450" s="2"/>
      <c r="Y450" s="2"/>
      <c r="Z450" s="2"/>
      <c r="AA450" s="2"/>
    </row>
    <row r="451" customFormat="false" ht="15.75" hidden="false" customHeight="false" outlineLevel="0" collapsed="false">
      <c r="A451" s="2"/>
      <c r="B451" s="2" t="s">
        <v>69</v>
      </c>
      <c r="C451" s="2" t="s">
        <v>78</v>
      </c>
      <c r="D451" s="2" t="s">
        <v>89</v>
      </c>
      <c r="E451" s="2" t="s">
        <v>72</v>
      </c>
      <c r="F451" s="2" t="s">
        <v>75</v>
      </c>
      <c r="G451" s="2"/>
      <c r="H451" s="2"/>
      <c r="I451" s="2"/>
      <c r="J451" s="2" t="s">
        <v>96</v>
      </c>
      <c r="K451" s="2" t="s">
        <v>72</v>
      </c>
      <c r="L451" s="2" t="s">
        <v>93</v>
      </c>
      <c r="M451" s="2"/>
      <c r="N451" s="2"/>
      <c r="O451" s="2"/>
      <c r="P451" s="2"/>
      <c r="Q451" s="2"/>
      <c r="R451" s="2"/>
      <c r="S451" s="2"/>
      <c r="T451" s="2"/>
      <c r="U451" s="2"/>
      <c r="V451" s="2"/>
      <c r="W451" s="2"/>
      <c r="X451" s="2"/>
      <c r="Y451" s="2"/>
      <c r="Z451" s="2"/>
      <c r="AA451" s="2"/>
    </row>
    <row r="452" customFormat="false" ht="15.75" hidden="false" customHeight="false" outlineLevel="0" collapsed="false">
      <c r="A452" s="2"/>
      <c r="B452" s="2" t="s">
        <v>81</v>
      </c>
      <c r="C452" s="2" t="s">
        <v>63</v>
      </c>
      <c r="D452" s="2" t="s">
        <v>75</v>
      </c>
      <c r="E452" s="2" t="s">
        <v>63</v>
      </c>
      <c r="F452" s="2" t="s">
        <v>83</v>
      </c>
      <c r="G452" s="2"/>
      <c r="H452" s="2"/>
      <c r="I452" s="2"/>
      <c r="J452" s="2" t="s">
        <v>96</v>
      </c>
      <c r="K452" s="2" t="s">
        <v>72</v>
      </c>
      <c r="L452" s="2" t="s">
        <v>93</v>
      </c>
      <c r="M452" s="2"/>
      <c r="N452" s="2"/>
      <c r="O452" s="2"/>
      <c r="P452" s="2"/>
      <c r="Q452" s="2"/>
      <c r="R452" s="2"/>
      <c r="S452" s="2"/>
      <c r="T452" s="2"/>
      <c r="U452" s="2"/>
      <c r="V452" s="2"/>
      <c r="W452" s="2"/>
      <c r="X452" s="2"/>
      <c r="Y452" s="2"/>
      <c r="Z452" s="2"/>
      <c r="AA452" s="2"/>
    </row>
    <row r="453" customFormat="false" ht="15.75" hidden="false" customHeight="false" outlineLevel="0" collapsed="false">
      <c r="A453" s="2"/>
      <c r="B453" s="2" t="s">
        <v>93</v>
      </c>
      <c r="C453" s="2" t="s">
        <v>83</v>
      </c>
      <c r="D453" s="2" t="s">
        <v>147</v>
      </c>
      <c r="E453" s="2" t="s">
        <v>83</v>
      </c>
      <c r="F453" s="2" t="s">
        <v>89</v>
      </c>
      <c r="G453" s="2"/>
      <c r="H453" s="2"/>
      <c r="I453" s="2"/>
      <c r="J453" s="2" t="s">
        <v>63</v>
      </c>
      <c r="K453" s="2" t="s">
        <v>93</v>
      </c>
      <c r="L453" s="2" t="s">
        <v>93</v>
      </c>
      <c r="M453" s="2"/>
      <c r="N453" s="2"/>
      <c r="O453" s="2"/>
      <c r="P453" s="2"/>
      <c r="Q453" s="2"/>
      <c r="R453" s="2"/>
      <c r="S453" s="2"/>
      <c r="T453" s="2"/>
      <c r="U453" s="2"/>
      <c r="V453" s="2"/>
      <c r="W453" s="2"/>
      <c r="X453" s="2"/>
      <c r="Y453" s="2"/>
      <c r="Z453" s="2"/>
      <c r="AA453" s="2"/>
    </row>
    <row r="454" customFormat="false" ht="15.75" hidden="false" customHeight="false" outlineLevel="0" collapsed="false">
      <c r="A454" s="2"/>
      <c r="B454" s="2" t="s">
        <v>66</v>
      </c>
      <c r="C454" s="2" t="s">
        <v>63</v>
      </c>
      <c r="D454" s="2" t="s">
        <v>93</v>
      </c>
      <c r="E454" s="2" t="s">
        <v>93</v>
      </c>
      <c r="F454" s="2" t="s">
        <v>89</v>
      </c>
      <c r="G454" s="2"/>
      <c r="H454" s="2"/>
      <c r="I454" s="2"/>
      <c r="J454" s="2" t="s">
        <v>63</v>
      </c>
      <c r="K454" s="2" t="s">
        <v>93</v>
      </c>
      <c r="L454" s="2" t="s">
        <v>75</v>
      </c>
      <c r="M454" s="2"/>
      <c r="N454" s="2"/>
      <c r="O454" s="2"/>
      <c r="P454" s="2"/>
      <c r="Q454" s="2"/>
      <c r="R454" s="2"/>
      <c r="S454" s="2"/>
      <c r="T454" s="2"/>
      <c r="U454" s="2"/>
      <c r="V454" s="2"/>
      <c r="W454" s="2"/>
      <c r="X454" s="2"/>
      <c r="Y454" s="2"/>
      <c r="Z454" s="2"/>
      <c r="AA454" s="2"/>
    </row>
    <row r="455" customFormat="false" ht="15.75" hidden="false" customHeight="false" outlineLevel="0" collapsed="false">
      <c r="A455" s="2"/>
      <c r="B455" s="2" t="s">
        <v>93</v>
      </c>
      <c r="C455" s="2" t="s">
        <v>63</v>
      </c>
      <c r="D455" s="2" t="s">
        <v>81</v>
      </c>
      <c r="E455" s="2" t="s">
        <v>89</v>
      </c>
      <c r="F455" s="2" t="s">
        <v>63</v>
      </c>
      <c r="G455" s="2"/>
      <c r="H455" s="2"/>
      <c r="I455" s="2"/>
      <c r="J455" s="2" t="s">
        <v>63</v>
      </c>
      <c r="K455" s="2" t="s">
        <v>93</v>
      </c>
      <c r="L455" s="2" t="s">
        <v>75</v>
      </c>
      <c r="M455" s="2"/>
      <c r="N455" s="2"/>
      <c r="O455" s="2"/>
      <c r="P455" s="2"/>
      <c r="Q455" s="2"/>
      <c r="R455" s="2"/>
      <c r="S455" s="2"/>
      <c r="T455" s="2"/>
      <c r="U455" s="2"/>
      <c r="V455" s="2"/>
      <c r="W455" s="2"/>
      <c r="X455" s="2"/>
      <c r="Y455" s="2"/>
      <c r="Z455" s="2"/>
      <c r="AA455" s="2"/>
    </row>
    <row r="456" customFormat="false" ht="15.75" hidden="false" customHeight="false" outlineLevel="0" collapsed="false">
      <c r="A456" s="2"/>
      <c r="B456" s="2" t="s">
        <v>83</v>
      </c>
      <c r="C456" s="2" t="s">
        <v>96</v>
      </c>
      <c r="D456" s="2" t="s">
        <v>89</v>
      </c>
      <c r="E456" s="2" t="s">
        <v>63</v>
      </c>
      <c r="F456" s="2" t="s">
        <v>81</v>
      </c>
      <c r="G456" s="2"/>
      <c r="H456" s="2"/>
      <c r="I456" s="2"/>
      <c r="J456" s="2" t="s">
        <v>63</v>
      </c>
      <c r="K456" s="2" t="s">
        <v>93</v>
      </c>
      <c r="L456" s="2" t="s">
        <v>75</v>
      </c>
      <c r="M456" s="2"/>
      <c r="N456" s="2"/>
      <c r="O456" s="2"/>
      <c r="P456" s="2"/>
      <c r="Q456" s="2"/>
      <c r="R456" s="2"/>
      <c r="S456" s="2"/>
      <c r="T456" s="2"/>
      <c r="U456" s="2"/>
      <c r="V456" s="2"/>
      <c r="W456" s="2"/>
      <c r="X456" s="2"/>
      <c r="Y456" s="2"/>
      <c r="Z456" s="2"/>
      <c r="AA456" s="2"/>
    </row>
    <row r="457" customFormat="false" ht="15.75" hidden="false" customHeight="false" outlineLevel="0" collapsed="false">
      <c r="A457" s="2"/>
      <c r="B457" s="2" t="s">
        <v>93</v>
      </c>
      <c r="C457" s="2" t="s">
        <v>83</v>
      </c>
      <c r="D457" s="2" t="s">
        <v>75</v>
      </c>
      <c r="E457" s="2" t="s">
        <v>93</v>
      </c>
      <c r="F457" s="2" t="s">
        <v>147</v>
      </c>
      <c r="G457" s="2"/>
      <c r="H457" s="2"/>
      <c r="I457" s="2"/>
      <c r="J457" s="2" t="s">
        <v>89</v>
      </c>
      <c r="K457" s="2" t="s">
        <v>72</v>
      </c>
      <c r="L457" s="2" t="s">
        <v>75</v>
      </c>
      <c r="M457" s="2"/>
      <c r="N457" s="2"/>
      <c r="O457" s="2"/>
      <c r="P457" s="2"/>
      <c r="Q457" s="2"/>
      <c r="R457" s="2"/>
      <c r="S457" s="2"/>
      <c r="T457" s="2"/>
      <c r="U457" s="2"/>
      <c r="V457" s="2"/>
      <c r="W457" s="2"/>
      <c r="X457" s="2"/>
      <c r="Y457" s="2"/>
      <c r="Z457" s="2"/>
      <c r="AA457" s="2"/>
    </row>
    <row r="458" customFormat="false" ht="15.75" hidden="false" customHeight="false" outlineLevel="0" collapsed="false">
      <c r="A458" s="2"/>
      <c r="B458" s="2" t="s">
        <v>81</v>
      </c>
      <c r="C458" s="2" t="s">
        <v>89</v>
      </c>
      <c r="D458" s="2" t="s">
        <v>96</v>
      </c>
      <c r="E458" s="2" t="s">
        <v>63</v>
      </c>
      <c r="F458" s="2" t="s">
        <v>69</v>
      </c>
      <c r="G458" s="2"/>
      <c r="H458" s="2"/>
      <c r="I458" s="2"/>
      <c r="J458" s="2" t="s">
        <v>89</v>
      </c>
      <c r="K458" s="2" t="s">
        <v>72</v>
      </c>
      <c r="L458" s="2" t="s">
        <v>93</v>
      </c>
      <c r="M458" s="2"/>
      <c r="N458" s="2"/>
      <c r="O458" s="2"/>
      <c r="P458" s="2"/>
      <c r="Q458" s="2"/>
      <c r="R458" s="2"/>
      <c r="S458" s="2"/>
      <c r="T458" s="2"/>
      <c r="U458" s="2"/>
      <c r="V458" s="2"/>
      <c r="W458" s="2"/>
      <c r="X458" s="2"/>
      <c r="Y458" s="2"/>
      <c r="Z458" s="2"/>
      <c r="AA458" s="2"/>
    </row>
    <row r="459" customFormat="false" ht="15.75" hidden="false" customHeight="false" outlineLevel="0" collapsed="false">
      <c r="A459" s="2"/>
      <c r="B459" s="2" t="s">
        <v>63</v>
      </c>
      <c r="C459" s="2" t="s">
        <v>69</v>
      </c>
      <c r="D459" s="2" t="s">
        <v>72</v>
      </c>
      <c r="E459" s="2" t="s">
        <v>81</v>
      </c>
      <c r="F459" s="2" t="s">
        <v>93</v>
      </c>
      <c r="G459" s="2"/>
      <c r="H459" s="2"/>
      <c r="I459" s="2"/>
      <c r="J459" s="2" t="s">
        <v>89</v>
      </c>
      <c r="K459" s="2" t="s">
        <v>72</v>
      </c>
      <c r="L459" s="2" t="s">
        <v>93</v>
      </c>
      <c r="M459" s="2"/>
      <c r="N459" s="2"/>
      <c r="O459" s="2"/>
      <c r="P459" s="2"/>
      <c r="Q459" s="2"/>
      <c r="R459" s="2"/>
      <c r="S459" s="2"/>
      <c r="T459" s="2"/>
      <c r="U459" s="2"/>
      <c r="V459" s="2"/>
      <c r="W459" s="2"/>
      <c r="X459" s="2"/>
      <c r="Y459" s="2"/>
      <c r="Z459" s="2"/>
      <c r="AA459" s="2"/>
    </row>
    <row r="460" customFormat="false" ht="15.75" hidden="false" customHeight="false" outlineLevel="0" collapsed="false">
      <c r="A460" s="2"/>
      <c r="B460" s="2" t="s">
        <v>81</v>
      </c>
      <c r="C460" s="2" t="s">
        <v>83</v>
      </c>
      <c r="D460" s="2" t="s">
        <v>72</v>
      </c>
      <c r="E460" s="2" t="s">
        <v>149</v>
      </c>
      <c r="F460" s="2" t="s">
        <v>96</v>
      </c>
      <c r="G460" s="2"/>
      <c r="H460" s="2"/>
      <c r="I460" s="2"/>
      <c r="J460" s="2" t="s">
        <v>89</v>
      </c>
      <c r="K460" s="2" t="s">
        <v>72</v>
      </c>
      <c r="L460" s="2" t="s">
        <v>93</v>
      </c>
      <c r="M460" s="2"/>
      <c r="N460" s="2"/>
      <c r="O460" s="2"/>
      <c r="P460" s="2"/>
      <c r="Q460" s="2"/>
      <c r="R460" s="2"/>
      <c r="S460" s="2"/>
      <c r="T460" s="2"/>
      <c r="U460" s="2"/>
      <c r="V460" s="2"/>
      <c r="W460" s="2"/>
      <c r="X460" s="2"/>
      <c r="Y460" s="2"/>
      <c r="Z460" s="2"/>
      <c r="AA460" s="2"/>
    </row>
    <row r="461" customFormat="false" ht="15.75" hidden="false" customHeight="false" outlineLevel="0" collapsed="false">
      <c r="A461" s="2"/>
      <c r="B461" s="2" t="s">
        <v>93</v>
      </c>
      <c r="C461" s="2" t="s">
        <v>83</v>
      </c>
      <c r="D461" s="2" t="s">
        <v>69</v>
      </c>
      <c r="E461" s="2" t="s">
        <v>81</v>
      </c>
      <c r="F461" s="2" t="s">
        <v>69</v>
      </c>
      <c r="G461" s="2"/>
      <c r="H461" s="2"/>
      <c r="I461" s="2"/>
      <c r="J461" s="2" t="s">
        <v>69</v>
      </c>
      <c r="K461" s="2" t="s">
        <v>96</v>
      </c>
      <c r="L461" s="2" t="s">
        <v>93</v>
      </c>
      <c r="M461" s="2"/>
      <c r="N461" s="2"/>
      <c r="O461" s="2"/>
      <c r="P461" s="2"/>
      <c r="Q461" s="2"/>
      <c r="R461" s="2"/>
      <c r="S461" s="2"/>
      <c r="T461" s="2"/>
      <c r="U461" s="2"/>
      <c r="V461" s="2"/>
      <c r="W461" s="2"/>
      <c r="X461" s="2"/>
      <c r="Y461" s="2"/>
      <c r="Z461" s="2"/>
      <c r="AA461" s="2"/>
    </row>
    <row r="462" customFormat="false" ht="15.75" hidden="false" customHeight="false" outlineLevel="0" collapsed="false">
      <c r="A462" s="2"/>
      <c r="B462" s="2" t="s">
        <v>89</v>
      </c>
      <c r="C462" s="2" t="s">
        <v>96</v>
      </c>
      <c r="D462" s="2" t="s">
        <v>75</v>
      </c>
      <c r="E462" s="2" t="s">
        <v>75</v>
      </c>
      <c r="F462" s="2" t="s">
        <v>96</v>
      </c>
      <c r="G462" s="2"/>
      <c r="H462" s="2"/>
      <c r="I462" s="2"/>
      <c r="J462" s="2" t="s">
        <v>69</v>
      </c>
      <c r="K462" s="2" t="s">
        <v>96</v>
      </c>
      <c r="L462" s="2" t="s">
        <v>69</v>
      </c>
      <c r="M462" s="2"/>
      <c r="N462" s="2"/>
      <c r="O462" s="2"/>
      <c r="P462" s="2"/>
      <c r="Q462" s="2"/>
      <c r="R462" s="2"/>
      <c r="S462" s="2"/>
      <c r="T462" s="2"/>
      <c r="U462" s="2"/>
      <c r="V462" s="2"/>
      <c r="W462" s="2"/>
      <c r="X462" s="2"/>
      <c r="Y462" s="2"/>
      <c r="Z462" s="2"/>
      <c r="AA462" s="2"/>
    </row>
    <row r="463" customFormat="false" ht="15.75" hidden="false" customHeight="false" outlineLevel="0" collapsed="false">
      <c r="A463" s="2"/>
      <c r="B463" s="2" t="s">
        <v>78</v>
      </c>
      <c r="C463" s="2" t="s">
        <v>83</v>
      </c>
      <c r="D463" s="2" t="s">
        <v>63</v>
      </c>
      <c r="E463" s="2" t="s">
        <v>96</v>
      </c>
      <c r="F463" s="2" t="s">
        <v>81</v>
      </c>
      <c r="G463" s="2"/>
      <c r="H463" s="2"/>
      <c r="I463" s="2"/>
      <c r="J463" s="2" t="s">
        <v>69</v>
      </c>
      <c r="K463" s="2" t="s">
        <v>149</v>
      </c>
      <c r="L463" s="2" t="s">
        <v>69</v>
      </c>
      <c r="M463" s="2"/>
      <c r="N463" s="2"/>
      <c r="O463" s="2"/>
      <c r="P463" s="2"/>
      <c r="Q463" s="2"/>
      <c r="R463" s="2"/>
      <c r="S463" s="2"/>
      <c r="T463" s="2"/>
      <c r="U463" s="2"/>
      <c r="V463" s="2"/>
      <c r="W463" s="2"/>
      <c r="X463" s="2"/>
      <c r="Y463" s="2"/>
      <c r="Z463" s="2"/>
      <c r="AA463" s="2"/>
    </row>
    <row r="464" customFormat="false" ht="15.75" hidden="false" customHeight="false" outlineLevel="0" collapsed="false">
      <c r="A464" s="2"/>
      <c r="B464" s="2" t="s">
        <v>89</v>
      </c>
      <c r="C464" s="2" t="s">
        <v>78</v>
      </c>
      <c r="D464" s="2" t="s">
        <v>66</v>
      </c>
      <c r="E464" s="2" t="s">
        <v>93</v>
      </c>
      <c r="F464" s="2" t="s">
        <v>93</v>
      </c>
      <c r="G464" s="2"/>
      <c r="H464" s="2"/>
      <c r="I464" s="2"/>
      <c r="J464" s="2" t="s">
        <v>69</v>
      </c>
      <c r="K464" s="2" t="s">
        <v>96</v>
      </c>
      <c r="L464" s="2" t="s">
        <v>69</v>
      </c>
      <c r="M464" s="2"/>
      <c r="N464" s="2"/>
      <c r="O464" s="2"/>
      <c r="P464" s="2"/>
      <c r="Q464" s="2"/>
      <c r="R464" s="2"/>
      <c r="S464" s="2"/>
      <c r="T464" s="2"/>
      <c r="U464" s="2"/>
      <c r="V464" s="2"/>
      <c r="W464" s="2"/>
      <c r="X464" s="2"/>
      <c r="Y464" s="2"/>
      <c r="Z464" s="2"/>
      <c r="AA464" s="2"/>
    </row>
    <row r="465" customFormat="false" ht="15.75" hidden="false" customHeight="false" outlineLevel="0" collapsed="false">
      <c r="A465" s="2"/>
      <c r="B465" s="2" t="s">
        <v>75</v>
      </c>
      <c r="C465" s="2" t="s">
        <v>149</v>
      </c>
      <c r="D465" s="2" t="s">
        <v>93</v>
      </c>
      <c r="E465" s="2" t="s">
        <v>66</v>
      </c>
      <c r="F465" s="2" t="s">
        <v>83</v>
      </c>
      <c r="G465" s="2"/>
      <c r="H465" s="2"/>
      <c r="I465" s="2"/>
      <c r="J465" s="2" t="s">
        <v>96</v>
      </c>
      <c r="K465" s="2" t="s">
        <v>96</v>
      </c>
      <c r="L465" s="2" t="s">
        <v>69</v>
      </c>
      <c r="M465" s="2"/>
      <c r="N465" s="2"/>
      <c r="O465" s="2"/>
      <c r="P465" s="2"/>
      <c r="Q465" s="2"/>
      <c r="R465" s="2"/>
      <c r="S465" s="2"/>
      <c r="T465" s="2"/>
      <c r="U465" s="2"/>
      <c r="V465" s="2"/>
      <c r="W465" s="2"/>
      <c r="X465" s="2"/>
      <c r="Y465" s="2"/>
      <c r="Z465" s="2"/>
      <c r="AA465" s="2"/>
    </row>
    <row r="466" customFormat="false" ht="15.75" hidden="false" customHeight="false" outlineLevel="0" collapsed="false">
      <c r="A466" s="2"/>
      <c r="B466" s="2" t="s">
        <v>83</v>
      </c>
      <c r="C466" s="2" t="s">
        <v>81</v>
      </c>
      <c r="D466" s="2" t="s">
        <v>96</v>
      </c>
      <c r="E466" s="2" t="s">
        <v>89</v>
      </c>
      <c r="F466" s="2" t="s">
        <v>78</v>
      </c>
      <c r="G466" s="2"/>
      <c r="H466" s="2"/>
      <c r="I466" s="2"/>
      <c r="J466" s="2" t="s">
        <v>96</v>
      </c>
      <c r="K466" s="2" t="s">
        <v>96</v>
      </c>
      <c r="L466" s="2" t="s">
        <v>78</v>
      </c>
      <c r="M466" s="2"/>
      <c r="N466" s="2"/>
      <c r="O466" s="2"/>
      <c r="P466" s="2"/>
      <c r="Q466" s="2"/>
      <c r="R466" s="2"/>
      <c r="S466" s="2"/>
      <c r="T466" s="2"/>
      <c r="U466" s="2"/>
      <c r="V466" s="2"/>
      <c r="W466" s="2"/>
      <c r="X466" s="2"/>
      <c r="Y466" s="2"/>
      <c r="Z466" s="2"/>
      <c r="AA466" s="2"/>
    </row>
    <row r="467" customFormat="false" ht="15.75" hidden="false" customHeight="false" outlineLevel="0" collapsed="false">
      <c r="A467" s="2"/>
      <c r="B467" s="2" t="s">
        <v>66</v>
      </c>
      <c r="C467" s="2" t="s">
        <v>93</v>
      </c>
      <c r="D467" s="2" t="s">
        <v>83</v>
      </c>
      <c r="E467" s="2" t="s">
        <v>81</v>
      </c>
      <c r="F467" s="2" t="s">
        <v>63</v>
      </c>
      <c r="G467" s="2"/>
      <c r="H467" s="2"/>
      <c r="I467" s="2"/>
      <c r="J467" s="2" t="s">
        <v>96</v>
      </c>
      <c r="K467" s="2" t="s">
        <v>96</v>
      </c>
      <c r="L467" s="2" t="s">
        <v>78</v>
      </c>
      <c r="M467" s="2"/>
      <c r="N467" s="2"/>
      <c r="O467" s="2"/>
      <c r="P467" s="2"/>
      <c r="Q467" s="2"/>
      <c r="R467" s="2"/>
      <c r="S467" s="2"/>
      <c r="T467" s="2"/>
      <c r="U467" s="2"/>
      <c r="V467" s="2"/>
      <c r="W467" s="2"/>
      <c r="X467" s="2"/>
      <c r="Y467" s="2"/>
      <c r="Z467" s="2"/>
      <c r="AA467" s="2"/>
    </row>
    <row r="468" customFormat="false" ht="15.75" hidden="false" customHeight="false" outlineLevel="0" collapsed="false">
      <c r="A468" s="2"/>
      <c r="B468" s="2" t="s">
        <v>66</v>
      </c>
      <c r="C468" s="2" t="s">
        <v>78</v>
      </c>
      <c r="D468" s="2" t="s">
        <v>89</v>
      </c>
      <c r="E468" s="2" t="s">
        <v>63</v>
      </c>
      <c r="F468" s="2" t="s">
        <v>89</v>
      </c>
      <c r="G468" s="2"/>
      <c r="H468" s="2"/>
      <c r="I468" s="2"/>
      <c r="J468" s="2" t="s">
        <v>96</v>
      </c>
      <c r="K468" s="2" t="s">
        <v>96</v>
      </c>
      <c r="L468" s="2" t="s">
        <v>78</v>
      </c>
      <c r="M468" s="2"/>
      <c r="N468" s="2"/>
      <c r="O468" s="2"/>
      <c r="P468" s="2"/>
      <c r="Q468" s="2"/>
      <c r="R468" s="2"/>
      <c r="S468" s="2"/>
      <c r="T468" s="2"/>
      <c r="U468" s="2"/>
      <c r="V468" s="2"/>
      <c r="W468" s="2"/>
      <c r="X468" s="2"/>
      <c r="Y468" s="2"/>
      <c r="Z468" s="2"/>
      <c r="AA468" s="2"/>
    </row>
    <row r="469" customFormat="false" ht="15.75" hidden="false" customHeight="false" outlineLevel="0" collapsed="false">
      <c r="A469" s="2"/>
      <c r="B469" s="2" t="s">
        <v>66</v>
      </c>
      <c r="C469" s="2" t="s">
        <v>81</v>
      </c>
      <c r="D469" s="2" t="s">
        <v>93</v>
      </c>
      <c r="E469" s="2" t="s">
        <v>81</v>
      </c>
      <c r="F469" s="2" t="s">
        <v>93</v>
      </c>
      <c r="G469" s="2"/>
      <c r="H469" s="2"/>
      <c r="I469" s="2"/>
      <c r="J469" s="2" t="s">
        <v>63</v>
      </c>
      <c r="K469" s="2" t="s">
        <v>96</v>
      </c>
      <c r="L469" s="2" t="s">
        <v>78</v>
      </c>
      <c r="M469" s="2"/>
      <c r="N469" s="2"/>
      <c r="O469" s="2"/>
      <c r="P469" s="2"/>
      <c r="Q469" s="2"/>
      <c r="R469" s="2"/>
      <c r="S469" s="2"/>
      <c r="T469" s="2"/>
      <c r="U469" s="2"/>
      <c r="V469" s="2"/>
      <c r="W469" s="2"/>
      <c r="X469" s="2"/>
      <c r="Y469" s="2"/>
      <c r="Z469" s="2"/>
      <c r="AA469" s="2"/>
    </row>
    <row r="470" customFormat="false" ht="15.75" hidden="false" customHeight="false" outlineLevel="0" collapsed="false">
      <c r="A470" s="2"/>
      <c r="B470" s="2" t="s">
        <v>75</v>
      </c>
      <c r="C470" s="2" t="s">
        <v>96</v>
      </c>
      <c r="D470" s="2" t="s">
        <v>96</v>
      </c>
      <c r="E470" s="2" t="s">
        <v>78</v>
      </c>
      <c r="F470" s="2" t="s">
        <v>96</v>
      </c>
      <c r="G470" s="2"/>
      <c r="H470" s="2"/>
      <c r="I470" s="2"/>
      <c r="J470" s="2" t="s">
        <v>89</v>
      </c>
      <c r="K470" s="2" t="s">
        <v>81</v>
      </c>
      <c r="L470" s="2" t="s">
        <v>89</v>
      </c>
      <c r="M470" s="2"/>
      <c r="N470" s="2"/>
      <c r="O470" s="2"/>
      <c r="P470" s="2"/>
      <c r="Q470" s="2"/>
      <c r="R470" s="2"/>
      <c r="S470" s="2"/>
      <c r="T470" s="2"/>
      <c r="U470" s="2"/>
      <c r="V470" s="2"/>
      <c r="W470" s="2"/>
      <c r="X470" s="2"/>
      <c r="Y470" s="2"/>
      <c r="Z470" s="2"/>
      <c r="AA470" s="2"/>
    </row>
    <row r="471" customFormat="false" ht="15.75" hidden="false" customHeight="false" outlineLevel="0" collapsed="false">
      <c r="A471" s="2"/>
      <c r="B471" s="2" t="s">
        <v>89</v>
      </c>
      <c r="C471" s="2" t="s">
        <v>69</v>
      </c>
      <c r="D471" s="2" t="s">
        <v>78</v>
      </c>
      <c r="E471" s="2" t="s">
        <v>66</v>
      </c>
      <c r="F471" s="2" t="s">
        <v>96</v>
      </c>
      <c r="G471" s="2"/>
      <c r="H471" s="2"/>
      <c r="I471" s="2"/>
      <c r="J471" s="2" t="s">
        <v>89</v>
      </c>
      <c r="K471" s="2" t="s">
        <v>81</v>
      </c>
      <c r="L471" s="2" t="s">
        <v>89</v>
      </c>
      <c r="M471" s="2"/>
      <c r="N471" s="2"/>
      <c r="O471" s="2"/>
      <c r="P471" s="2"/>
      <c r="Q471" s="2"/>
      <c r="R471" s="2"/>
      <c r="S471" s="2"/>
      <c r="T471" s="2"/>
      <c r="U471" s="2"/>
      <c r="V471" s="2"/>
      <c r="W471" s="2"/>
      <c r="X471" s="2"/>
      <c r="Y471" s="2"/>
      <c r="Z471" s="2"/>
      <c r="AA471" s="2"/>
    </row>
    <row r="472" customFormat="false" ht="15.75" hidden="false" customHeight="false" outlineLevel="0" collapsed="false">
      <c r="A472" s="2"/>
      <c r="B472" s="2" t="s">
        <v>72</v>
      </c>
      <c r="C472" s="2" t="s">
        <v>72</v>
      </c>
      <c r="D472" s="2" t="s">
        <v>81</v>
      </c>
      <c r="E472" s="2" t="s">
        <v>81</v>
      </c>
      <c r="F472" s="2" t="s">
        <v>72</v>
      </c>
      <c r="G472" s="2"/>
      <c r="H472" s="2"/>
      <c r="I472" s="2"/>
      <c r="J472" s="2" t="s">
        <v>89</v>
      </c>
      <c r="K472" s="2" t="s">
        <v>81</v>
      </c>
      <c r="L472" s="2" t="s">
        <v>89</v>
      </c>
      <c r="M472" s="2"/>
      <c r="N472" s="2"/>
      <c r="O472" s="2"/>
      <c r="P472" s="2"/>
      <c r="Q472" s="2"/>
      <c r="R472" s="2"/>
      <c r="S472" s="2"/>
      <c r="T472" s="2"/>
      <c r="U472" s="2"/>
      <c r="V472" s="2"/>
      <c r="W472" s="2"/>
      <c r="X472" s="2"/>
      <c r="Y472" s="2"/>
      <c r="Z472" s="2"/>
      <c r="AA472" s="2"/>
    </row>
    <row r="473" customFormat="false" ht="15.75" hidden="false" customHeight="false" outlineLevel="0" collapsed="false">
      <c r="A473" s="2"/>
      <c r="B473" s="2" t="s">
        <v>147</v>
      </c>
      <c r="C473" s="2" t="s">
        <v>81</v>
      </c>
      <c r="D473" s="2" t="s">
        <v>93</v>
      </c>
      <c r="E473" s="2" t="s">
        <v>89</v>
      </c>
      <c r="F473" s="2" t="s">
        <v>96</v>
      </c>
      <c r="G473" s="2"/>
      <c r="H473" s="2"/>
      <c r="I473" s="2"/>
      <c r="J473" s="2" t="s">
        <v>89</v>
      </c>
      <c r="K473" s="2" t="s">
        <v>81</v>
      </c>
      <c r="L473" s="2" t="s">
        <v>89</v>
      </c>
      <c r="M473" s="2"/>
      <c r="N473" s="2"/>
      <c r="O473" s="2"/>
      <c r="P473" s="2"/>
      <c r="Q473" s="2"/>
      <c r="R473" s="2"/>
      <c r="S473" s="2"/>
      <c r="T473" s="2"/>
      <c r="U473" s="2"/>
      <c r="V473" s="2"/>
      <c r="W473" s="2"/>
      <c r="X473" s="2"/>
      <c r="Y473" s="2"/>
      <c r="Z473" s="2"/>
      <c r="AA473" s="2"/>
    </row>
    <row r="474" customFormat="false" ht="15.75" hidden="false" customHeight="false" outlineLevel="0" collapsed="false">
      <c r="A474" s="2"/>
      <c r="B474" s="2" t="s">
        <v>63</v>
      </c>
      <c r="C474" s="2" t="s">
        <v>89</v>
      </c>
      <c r="D474" s="2" t="s">
        <v>66</v>
      </c>
      <c r="E474" s="2" t="s">
        <v>149</v>
      </c>
      <c r="F474" s="2" t="s">
        <v>78</v>
      </c>
      <c r="G474" s="2"/>
      <c r="H474" s="2"/>
      <c r="I474" s="2"/>
      <c r="J474" s="2"/>
      <c r="K474" s="2"/>
      <c r="L474" s="2"/>
      <c r="M474" s="2"/>
      <c r="N474" s="2"/>
      <c r="O474" s="2"/>
      <c r="P474" s="2"/>
      <c r="Q474" s="2"/>
      <c r="R474" s="2"/>
      <c r="S474" s="2"/>
      <c r="T474" s="2"/>
      <c r="U474" s="2"/>
      <c r="V474" s="2"/>
      <c r="W474" s="2"/>
      <c r="X474" s="2"/>
      <c r="Y474" s="2"/>
      <c r="Z474" s="2"/>
      <c r="AA474" s="2"/>
    </row>
    <row r="475" customFormat="false" ht="15.75" hidden="false" customHeight="false" outlineLevel="0" collapsed="false">
      <c r="A475" s="2"/>
      <c r="B475" s="2" t="s">
        <v>81</v>
      </c>
      <c r="C475" s="2" t="s">
        <v>83</v>
      </c>
      <c r="D475" s="2" t="s">
        <v>96</v>
      </c>
      <c r="E475" s="2" t="s">
        <v>69</v>
      </c>
      <c r="F475" s="2" t="s">
        <v>93</v>
      </c>
      <c r="G475" s="2"/>
      <c r="H475" s="2"/>
      <c r="I475" s="2"/>
      <c r="J475" s="2"/>
      <c r="K475" s="2"/>
      <c r="L475" s="2"/>
      <c r="M475" s="2"/>
      <c r="N475" s="2"/>
      <c r="O475" s="2"/>
      <c r="P475" s="2"/>
      <c r="Q475" s="2"/>
      <c r="R475" s="2"/>
      <c r="S475" s="2"/>
      <c r="T475" s="2"/>
      <c r="U475" s="2"/>
      <c r="V475" s="2"/>
      <c r="W475" s="2"/>
      <c r="X475" s="2"/>
      <c r="Y475" s="2"/>
      <c r="Z475" s="2"/>
      <c r="AA475" s="2"/>
    </row>
    <row r="476" customFormat="false" ht="15.75" hidden="false" customHeight="false" outlineLevel="0" collapsed="false">
      <c r="A476" s="2"/>
      <c r="B476" s="2" t="s">
        <v>75</v>
      </c>
      <c r="C476" s="2" t="s">
        <v>72</v>
      </c>
      <c r="D476" s="2" t="s">
        <v>83</v>
      </c>
      <c r="E476" s="2" t="s">
        <v>96</v>
      </c>
      <c r="F476" s="2" t="s">
        <v>83</v>
      </c>
      <c r="G476" s="2"/>
      <c r="H476" s="2"/>
      <c r="I476" s="2"/>
      <c r="J476" s="2"/>
      <c r="K476" s="2"/>
      <c r="L476" s="2"/>
      <c r="M476" s="2"/>
      <c r="N476" s="2"/>
      <c r="O476" s="2"/>
      <c r="P476" s="2"/>
      <c r="Q476" s="2"/>
      <c r="R476" s="2"/>
      <c r="S476" s="2"/>
      <c r="T476" s="2"/>
      <c r="U476" s="2"/>
      <c r="V476" s="2"/>
      <c r="W476" s="2"/>
      <c r="X476" s="2"/>
      <c r="Y476" s="2"/>
      <c r="Z476" s="2"/>
      <c r="AA476" s="2"/>
    </row>
    <row r="477" customFormat="false" ht="15.75" hidden="false" customHeight="false" outlineLevel="0" collapsed="false">
      <c r="A477" s="2"/>
      <c r="B477" s="2" t="s">
        <v>83</v>
      </c>
      <c r="C477" s="2" t="s">
        <v>83</v>
      </c>
      <c r="D477" s="2" t="s">
        <v>89</v>
      </c>
      <c r="E477" s="2" t="s">
        <v>89</v>
      </c>
      <c r="F477" s="2" t="s">
        <v>69</v>
      </c>
      <c r="G477" s="2"/>
      <c r="H477" s="2"/>
      <c r="I477" s="2"/>
      <c r="J477" s="2"/>
      <c r="K477" s="2"/>
      <c r="L477" s="2"/>
      <c r="M477" s="2"/>
      <c r="N477" s="2"/>
      <c r="O477" s="2"/>
      <c r="P477" s="2"/>
      <c r="Q477" s="2"/>
      <c r="R477" s="2"/>
      <c r="S477" s="2"/>
      <c r="T477" s="2"/>
      <c r="U477" s="2"/>
      <c r="V477" s="2"/>
      <c r="W477" s="2"/>
      <c r="X477" s="2"/>
      <c r="Y477" s="2"/>
      <c r="Z477" s="2"/>
      <c r="AA477" s="2"/>
    </row>
    <row r="478" customFormat="false" ht="15.75" hidden="false" customHeight="false" outlineLevel="0" collapsed="false">
      <c r="A478" s="2"/>
      <c r="B478" s="2" t="s">
        <v>78</v>
      </c>
      <c r="C478" s="2" t="s">
        <v>93</v>
      </c>
      <c r="D478" s="2" t="s">
        <v>93</v>
      </c>
      <c r="E478" s="2" t="s">
        <v>78</v>
      </c>
      <c r="F478" s="2" t="s">
        <v>89</v>
      </c>
      <c r="G478" s="2"/>
      <c r="H478" s="2"/>
      <c r="I478" s="2"/>
      <c r="J478" s="2"/>
      <c r="K478" s="2"/>
      <c r="L478" s="2"/>
      <c r="M478" s="2"/>
      <c r="N478" s="2"/>
      <c r="O478" s="2"/>
      <c r="P478" s="2"/>
      <c r="Q478" s="2"/>
      <c r="R478" s="2"/>
      <c r="S478" s="2"/>
      <c r="T478" s="2"/>
      <c r="U478" s="2"/>
      <c r="V478" s="2"/>
      <c r="W478" s="2"/>
      <c r="X478" s="2"/>
      <c r="Y478" s="2"/>
      <c r="Z478" s="2"/>
      <c r="AA478" s="2"/>
    </row>
    <row r="479" customFormat="false" ht="15.75" hidden="false" customHeight="false" outlineLevel="0" collapsed="false">
      <c r="A479" s="2"/>
      <c r="B479" s="2" t="s">
        <v>63</v>
      </c>
      <c r="C479" s="2" t="s">
        <v>72</v>
      </c>
      <c r="D479" s="2" t="s">
        <v>78</v>
      </c>
      <c r="E479" s="2" t="s">
        <v>83</v>
      </c>
      <c r="F479" s="2" t="s">
        <v>93</v>
      </c>
      <c r="G479" s="2"/>
      <c r="H479" s="2"/>
      <c r="I479" s="2"/>
      <c r="J479" s="2"/>
      <c r="K479" s="2"/>
      <c r="L479" s="2"/>
      <c r="M479" s="2"/>
      <c r="N479" s="2"/>
      <c r="O479" s="2"/>
      <c r="P479" s="2"/>
      <c r="Q479" s="2"/>
      <c r="R479" s="2"/>
      <c r="S479" s="2"/>
      <c r="T479" s="2"/>
      <c r="U479" s="2"/>
      <c r="V479" s="2"/>
      <c r="W479" s="2"/>
      <c r="X479" s="2"/>
      <c r="Y479" s="2"/>
      <c r="Z479" s="2"/>
      <c r="AA479" s="2"/>
    </row>
    <row r="480" customFormat="false" ht="15.75" hidden="false" customHeight="false" outlineLevel="0" collapsed="false">
      <c r="A480" s="2"/>
      <c r="B480" s="2" t="s">
        <v>63</v>
      </c>
      <c r="C480" s="2" t="s">
        <v>83</v>
      </c>
      <c r="D480" s="2" t="s">
        <v>96</v>
      </c>
      <c r="E480" s="2" t="s">
        <v>81</v>
      </c>
      <c r="F480" s="2" t="s">
        <v>75</v>
      </c>
      <c r="G480" s="2"/>
      <c r="H480" s="2"/>
      <c r="I480" s="2"/>
      <c r="J480" s="2"/>
      <c r="K480" s="2"/>
      <c r="L480" s="2"/>
      <c r="M480" s="2"/>
      <c r="N480" s="2"/>
      <c r="O480" s="2"/>
      <c r="P480" s="2"/>
      <c r="Q480" s="2"/>
      <c r="R480" s="2"/>
      <c r="S480" s="2"/>
      <c r="T480" s="2"/>
      <c r="U480" s="2"/>
      <c r="V480" s="2"/>
      <c r="W480" s="2"/>
      <c r="X480" s="2"/>
      <c r="Y480" s="2"/>
      <c r="Z480" s="2"/>
      <c r="AA480" s="2"/>
    </row>
    <row r="481" customFormat="false" ht="15.75" hidden="false" customHeight="false" outlineLevel="0" collapsed="false">
      <c r="A481" s="2"/>
      <c r="B481" s="2" t="s">
        <v>96</v>
      </c>
      <c r="C481" s="2" t="s">
        <v>78</v>
      </c>
      <c r="D481" s="2" t="s">
        <v>78</v>
      </c>
      <c r="E481" s="2" t="s">
        <v>96</v>
      </c>
      <c r="F481" s="2" t="s">
        <v>147</v>
      </c>
      <c r="G481" s="2"/>
      <c r="H481" s="2"/>
      <c r="I481" s="2"/>
      <c r="J481" s="2"/>
      <c r="K481" s="2"/>
      <c r="L481" s="2"/>
      <c r="M481" s="2"/>
      <c r="N481" s="2"/>
      <c r="O481" s="2"/>
      <c r="P481" s="2"/>
      <c r="Q481" s="2"/>
      <c r="R481" s="2"/>
      <c r="S481" s="2"/>
      <c r="T481" s="2"/>
      <c r="U481" s="2"/>
      <c r="V481" s="2"/>
      <c r="W481" s="2"/>
      <c r="X481" s="2"/>
      <c r="Y481" s="2"/>
      <c r="Z481" s="2"/>
      <c r="AA481" s="2"/>
    </row>
    <row r="482" customFormat="false" ht="15.75" hidden="false" customHeight="false" outlineLevel="0" collapsed="false">
      <c r="A482" s="2"/>
      <c r="B482" s="2" t="s">
        <v>78</v>
      </c>
      <c r="C482" s="2" t="s">
        <v>96</v>
      </c>
      <c r="D482" s="2" t="s">
        <v>96</v>
      </c>
      <c r="E482" s="2" t="s">
        <v>83</v>
      </c>
      <c r="F482" s="2" t="s">
        <v>63</v>
      </c>
      <c r="G482" s="2"/>
      <c r="H482" s="2"/>
      <c r="I482" s="2"/>
      <c r="J482" s="2"/>
      <c r="K482" s="2"/>
      <c r="L482" s="2"/>
      <c r="M482" s="2"/>
      <c r="N482" s="2"/>
      <c r="O482" s="2"/>
      <c r="P482" s="2"/>
      <c r="Q482" s="2"/>
      <c r="R482" s="2"/>
      <c r="S482" s="2"/>
      <c r="T482" s="2"/>
      <c r="U482" s="2"/>
      <c r="V482" s="2"/>
      <c r="W482" s="2"/>
      <c r="X482" s="2"/>
      <c r="Y482" s="2"/>
      <c r="Z482" s="2"/>
      <c r="AA482" s="2"/>
    </row>
    <row r="483" customFormat="false" ht="15.75" hidden="false" customHeight="false" outlineLevel="0" collapsed="false">
      <c r="A483" s="2"/>
      <c r="B483" s="2" t="s">
        <v>78</v>
      </c>
      <c r="C483" s="2" t="s">
        <v>149</v>
      </c>
      <c r="D483" s="2" t="s">
        <v>96</v>
      </c>
      <c r="E483" s="2" t="s">
        <v>75</v>
      </c>
      <c r="F483" s="2" t="s">
        <v>83</v>
      </c>
      <c r="G483" s="2"/>
      <c r="H483" s="2"/>
      <c r="I483" s="2"/>
      <c r="J483" s="2"/>
      <c r="K483" s="2"/>
      <c r="L483" s="2"/>
      <c r="M483" s="2"/>
      <c r="N483" s="2"/>
      <c r="O483" s="2"/>
      <c r="P483" s="2"/>
      <c r="Q483" s="2"/>
      <c r="R483" s="2"/>
      <c r="S483" s="2"/>
      <c r="T483" s="2"/>
      <c r="U483" s="2"/>
      <c r="V483" s="2"/>
      <c r="W483" s="2"/>
      <c r="X483" s="2"/>
      <c r="Y483" s="2"/>
      <c r="Z483" s="2"/>
      <c r="AA483" s="2"/>
    </row>
    <row r="484" customFormat="false" ht="15.75" hidden="false" customHeight="false" outlineLevel="0" collapsed="false">
      <c r="A484" s="2"/>
      <c r="B484" s="2" t="s">
        <v>66</v>
      </c>
      <c r="C484" s="2" t="s">
        <v>69</v>
      </c>
      <c r="D484" s="2" t="s">
        <v>81</v>
      </c>
      <c r="E484" s="2" t="s">
        <v>81</v>
      </c>
      <c r="F484" s="2" t="s">
        <v>81</v>
      </c>
      <c r="G484" s="2"/>
      <c r="H484" s="2"/>
      <c r="I484" s="2"/>
      <c r="J484" s="2"/>
      <c r="K484" s="2"/>
      <c r="L484" s="2"/>
      <c r="M484" s="2"/>
      <c r="N484" s="2"/>
      <c r="O484" s="2"/>
      <c r="P484" s="2"/>
      <c r="Q484" s="2"/>
      <c r="R484" s="2"/>
      <c r="S484" s="2"/>
      <c r="T484" s="2"/>
      <c r="U484" s="2"/>
      <c r="V484" s="2"/>
      <c r="W484" s="2"/>
      <c r="X484" s="2"/>
      <c r="Y484" s="2"/>
      <c r="Z484" s="2"/>
      <c r="AA484" s="2"/>
    </row>
    <row r="485" customFormat="false" ht="15.75" hidden="false" customHeight="false" outlineLevel="0" collapsed="false">
      <c r="A485" s="2"/>
      <c r="B485" s="2" t="s">
        <v>83</v>
      </c>
      <c r="C485" s="2" t="s">
        <v>83</v>
      </c>
      <c r="D485" s="2" t="s">
        <v>78</v>
      </c>
      <c r="E485" s="2" t="s">
        <v>81</v>
      </c>
      <c r="F485" s="2" t="s">
        <v>81</v>
      </c>
      <c r="G485" s="2"/>
      <c r="H485" s="2"/>
      <c r="I485" s="2"/>
      <c r="J485" s="2"/>
      <c r="K485" s="2"/>
      <c r="L485" s="2"/>
      <c r="M485" s="2"/>
      <c r="N485" s="2"/>
      <c r="O485" s="2"/>
      <c r="P485" s="2"/>
      <c r="Q485" s="2"/>
      <c r="R485" s="2"/>
      <c r="S485" s="2"/>
      <c r="T485" s="2"/>
      <c r="U485" s="2"/>
      <c r="V485" s="2"/>
      <c r="W485" s="2"/>
      <c r="X485" s="2"/>
      <c r="Y485" s="2"/>
      <c r="Z485" s="2"/>
      <c r="AA485" s="2"/>
    </row>
    <row r="486" customFormat="false" ht="15.75" hidden="false" customHeight="false" outlineLevel="0" collapsed="false">
      <c r="A486" s="2"/>
      <c r="B486" s="2" t="s">
        <v>83</v>
      </c>
      <c r="C486" s="2" t="s">
        <v>75</v>
      </c>
      <c r="D486" s="2" t="s">
        <v>66</v>
      </c>
      <c r="E486" s="2" t="s">
        <v>93</v>
      </c>
      <c r="F486" s="2" t="s">
        <v>83</v>
      </c>
      <c r="G486" s="2"/>
      <c r="H486" s="2"/>
      <c r="I486" s="2"/>
      <c r="J486" s="2"/>
      <c r="K486" s="2"/>
      <c r="L486" s="2"/>
      <c r="M486" s="2"/>
      <c r="N486" s="2"/>
      <c r="O486" s="2"/>
      <c r="P486" s="2"/>
      <c r="Q486" s="2"/>
      <c r="R486" s="2"/>
      <c r="S486" s="2"/>
      <c r="T486" s="2"/>
      <c r="U486" s="2"/>
      <c r="V486" s="2"/>
      <c r="W486" s="2"/>
      <c r="X486" s="2"/>
      <c r="Y486" s="2"/>
      <c r="Z486" s="2"/>
      <c r="AA486" s="2"/>
    </row>
    <row r="487" customFormat="false" ht="15.75" hidden="false" customHeight="false" outlineLevel="0" collapsed="false">
      <c r="A487" s="2"/>
      <c r="B487" s="2" t="s">
        <v>66</v>
      </c>
      <c r="C487" s="2" t="s">
        <v>93</v>
      </c>
      <c r="D487" s="2" t="s">
        <v>149</v>
      </c>
      <c r="E487" s="2" t="s">
        <v>75</v>
      </c>
      <c r="F487" s="2" t="s">
        <v>66</v>
      </c>
      <c r="G487" s="2"/>
      <c r="H487" s="2"/>
      <c r="I487" s="2"/>
      <c r="J487" s="2"/>
      <c r="K487" s="2"/>
      <c r="L487" s="2"/>
      <c r="M487" s="2"/>
      <c r="N487" s="2"/>
      <c r="O487" s="2"/>
      <c r="P487" s="2"/>
      <c r="Q487" s="2"/>
      <c r="R487" s="2"/>
      <c r="S487" s="2"/>
      <c r="T487" s="2"/>
      <c r="U487" s="2"/>
      <c r="V487" s="2"/>
      <c r="W487" s="2"/>
      <c r="X487" s="2"/>
      <c r="Y487" s="2"/>
      <c r="Z487" s="2"/>
      <c r="AA487" s="2"/>
    </row>
    <row r="488" customFormat="false" ht="15.75" hidden="false" customHeight="false" outlineLevel="0" collapsed="false">
      <c r="A488" s="2"/>
      <c r="B488" s="2" t="s">
        <v>66</v>
      </c>
      <c r="C488" s="2" t="s">
        <v>93</v>
      </c>
      <c r="D488" s="2" t="s">
        <v>78</v>
      </c>
      <c r="E488" s="2" t="s">
        <v>93</v>
      </c>
      <c r="F488" s="2" t="s">
        <v>89</v>
      </c>
      <c r="G488" s="2"/>
      <c r="H488" s="2"/>
      <c r="I488" s="2"/>
      <c r="J488" s="2"/>
      <c r="K488" s="2"/>
      <c r="L488" s="2"/>
      <c r="M488" s="2"/>
      <c r="N488" s="2"/>
      <c r="O488" s="2"/>
      <c r="P488" s="2"/>
      <c r="Q488" s="2"/>
      <c r="R488" s="2"/>
      <c r="S488" s="2"/>
      <c r="T488" s="2"/>
      <c r="U488" s="2"/>
      <c r="V488" s="2"/>
      <c r="W488" s="2"/>
      <c r="X488" s="2"/>
      <c r="Y488" s="2"/>
      <c r="Z488" s="2"/>
      <c r="AA488" s="2"/>
    </row>
    <row r="489" customFormat="false" ht="15.75" hidden="false" customHeight="false" outlineLevel="0" collapsed="false">
      <c r="A489" s="2"/>
      <c r="B489" s="2" t="s">
        <v>75</v>
      </c>
      <c r="C489" s="2" t="s">
        <v>78</v>
      </c>
      <c r="D489" s="2" t="s">
        <v>149</v>
      </c>
      <c r="E489" s="2" t="s">
        <v>78</v>
      </c>
      <c r="F489" s="2" t="s">
        <v>96</v>
      </c>
      <c r="G489" s="2"/>
      <c r="H489" s="2"/>
      <c r="I489" s="2"/>
      <c r="J489" s="2"/>
      <c r="K489" s="2"/>
      <c r="L489" s="2"/>
      <c r="M489" s="2"/>
      <c r="N489" s="2"/>
      <c r="O489" s="2"/>
      <c r="P489" s="2"/>
      <c r="Q489" s="2"/>
      <c r="R489" s="2"/>
      <c r="S489" s="2"/>
      <c r="T489" s="2"/>
      <c r="U489" s="2"/>
      <c r="V489" s="2"/>
      <c r="W489" s="2"/>
      <c r="X489" s="2"/>
      <c r="Y489" s="2"/>
      <c r="Z489" s="2"/>
      <c r="AA489" s="2"/>
    </row>
    <row r="490" customFormat="false" ht="15.75" hidden="false" customHeight="false" outlineLevel="0" collapsed="false">
      <c r="A490" s="2"/>
      <c r="B490" s="2" t="s">
        <v>69</v>
      </c>
      <c r="C490" s="2" t="s">
        <v>89</v>
      </c>
      <c r="D490" s="2" t="s">
        <v>93</v>
      </c>
      <c r="E490" s="2" t="s">
        <v>149</v>
      </c>
      <c r="F490" s="2" t="s">
        <v>81</v>
      </c>
      <c r="G490" s="2"/>
      <c r="H490" s="2"/>
      <c r="I490" s="2"/>
      <c r="J490" s="2"/>
      <c r="K490" s="2"/>
      <c r="L490" s="2"/>
      <c r="M490" s="2"/>
      <c r="N490" s="2"/>
      <c r="O490" s="2"/>
      <c r="P490" s="2"/>
      <c r="Q490" s="2"/>
      <c r="R490" s="2"/>
      <c r="S490" s="2"/>
      <c r="T490" s="2"/>
      <c r="U490" s="2"/>
      <c r="V490" s="2"/>
      <c r="W490" s="2"/>
      <c r="X490" s="2"/>
      <c r="Y490" s="2"/>
      <c r="Z490" s="2"/>
      <c r="AA490" s="2"/>
    </row>
    <row r="491" customFormat="false" ht="15.75" hidden="false" customHeight="false" outlineLevel="0" collapsed="false">
      <c r="A491" s="2"/>
      <c r="B491" s="2" t="s">
        <v>93</v>
      </c>
      <c r="C491" s="2" t="s">
        <v>83</v>
      </c>
      <c r="D491" s="2" t="s">
        <v>63</v>
      </c>
      <c r="E491" s="2" t="s">
        <v>72</v>
      </c>
      <c r="F491" s="2" t="s">
        <v>83</v>
      </c>
      <c r="G491" s="2"/>
      <c r="H491" s="2"/>
      <c r="I491" s="2"/>
      <c r="J491" s="2"/>
      <c r="K491" s="2"/>
      <c r="L491" s="2"/>
      <c r="M491" s="2"/>
      <c r="N491" s="2"/>
      <c r="O491" s="2"/>
      <c r="P491" s="2"/>
      <c r="Q491" s="2"/>
      <c r="R491" s="2"/>
      <c r="S491" s="2"/>
      <c r="T491" s="2"/>
      <c r="U491" s="2"/>
      <c r="V491" s="2"/>
      <c r="W491" s="2"/>
      <c r="X491" s="2"/>
      <c r="Y491" s="2"/>
      <c r="Z491" s="2"/>
      <c r="AA491" s="2"/>
    </row>
    <row r="492" customFormat="false" ht="15.75" hidden="false" customHeight="false" outlineLevel="0" collapsed="false">
      <c r="A492" s="2"/>
      <c r="B492" s="2" t="s">
        <v>66</v>
      </c>
      <c r="C492" s="2" t="s">
        <v>78</v>
      </c>
      <c r="D492" s="2" t="s">
        <v>66</v>
      </c>
      <c r="E492" s="2" t="s">
        <v>83</v>
      </c>
      <c r="F492" s="2" t="s">
        <v>69</v>
      </c>
      <c r="G492" s="2"/>
      <c r="H492" s="2"/>
      <c r="I492" s="2"/>
      <c r="J492" s="2"/>
      <c r="K492" s="2"/>
      <c r="L492" s="2"/>
      <c r="M492" s="2"/>
      <c r="N492" s="2"/>
      <c r="O492" s="2"/>
      <c r="P492" s="2"/>
      <c r="Q492" s="2"/>
      <c r="R492" s="2"/>
      <c r="S492" s="2"/>
      <c r="T492" s="2"/>
      <c r="U492" s="2"/>
      <c r="V492" s="2"/>
      <c r="W492" s="2"/>
      <c r="X492" s="2"/>
      <c r="Y492" s="2"/>
      <c r="Z492" s="2"/>
      <c r="AA492" s="2"/>
    </row>
    <row r="493" customFormat="false" ht="15.75" hidden="false" customHeight="false" outlineLevel="0" collapsed="false">
      <c r="A493" s="2"/>
      <c r="B493" s="2" t="s">
        <v>89</v>
      </c>
      <c r="C493" s="2" t="s">
        <v>78</v>
      </c>
      <c r="D493" s="2" t="s">
        <v>149</v>
      </c>
      <c r="E493" s="2" t="s">
        <v>96</v>
      </c>
      <c r="F493" s="2" t="s">
        <v>66</v>
      </c>
      <c r="G493" s="2"/>
      <c r="H493" s="2"/>
      <c r="I493" s="2"/>
      <c r="J493" s="2"/>
      <c r="K493" s="2"/>
      <c r="L493" s="2"/>
      <c r="M493" s="2"/>
      <c r="N493" s="2"/>
      <c r="O493" s="2"/>
      <c r="P493" s="2"/>
      <c r="Q493" s="2"/>
      <c r="R493" s="2"/>
      <c r="S493" s="2"/>
      <c r="T493" s="2"/>
      <c r="U493" s="2"/>
      <c r="V493" s="2"/>
      <c r="W493" s="2"/>
      <c r="X493" s="2"/>
      <c r="Y493" s="2"/>
      <c r="Z493" s="2"/>
      <c r="AA493" s="2"/>
    </row>
    <row r="494" customFormat="false" ht="15.75" hidden="false" customHeight="false" outlineLevel="0" collapsed="false">
      <c r="A494" s="2"/>
      <c r="B494" s="2" t="s">
        <v>89</v>
      </c>
      <c r="C494" s="2" t="s">
        <v>72</v>
      </c>
      <c r="D494" s="2" t="s">
        <v>89</v>
      </c>
      <c r="E494" s="2" t="s">
        <v>96</v>
      </c>
      <c r="F494" s="2" t="s">
        <v>96</v>
      </c>
      <c r="G494" s="2"/>
      <c r="H494" s="2"/>
      <c r="I494" s="2"/>
      <c r="J494" s="2"/>
      <c r="K494" s="2"/>
      <c r="L494" s="2"/>
      <c r="M494" s="2"/>
      <c r="N494" s="2"/>
      <c r="O494" s="2"/>
      <c r="P494" s="2"/>
      <c r="Q494" s="2"/>
      <c r="R494" s="2"/>
      <c r="S494" s="2"/>
      <c r="T494" s="2"/>
      <c r="U494" s="2"/>
      <c r="V494" s="2"/>
      <c r="W494" s="2"/>
      <c r="X494" s="2"/>
      <c r="Y494" s="2"/>
      <c r="Z494" s="2"/>
      <c r="AA494" s="2"/>
    </row>
    <row r="495" customFormat="false" ht="15.75" hidden="false" customHeight="false" outlineLevel="0" collapsed="false">
      <c r="A495" s="2"/>
      <c r="B495" s="2" t="s">
        <v>78</v>
      </c>
      <c r="C495" s="2" t="s">
        <v>75</v>
      </c>
      <c r="D495" s="2" t="s">
        <v>83</v>
      </c>
      <c r="E495" s="2" t="s">
        <v>93</v>
      </c>
      <c r="F495" s="2" t="s">
        <v>63</v>
      </c>
      <c r="G495" s="2"/>
      <c r="H495" s="2"/>
      <c r="I495" s="2"/>
      <c r="J495" s="2"/>
      <c r="K495" s="2"/>
      <c r="L495" s="2"/>
      <c r="M495" s="2"/>
      <c r="N495" s="2"/>
      <c r="O495" s="2"/>
      <c r="P495" s="2"/>
      <c r="Q495" s="2"/>
      <c r="R495" s="2"/>
      <c r="S495" s="2"/>
      <c r="T495" s="2"/>
      <c r="U495" s="2"/>
      <c r="V495" s="2"/>
      <c r="W495" s="2"/>
      <c r="X495" s="2"/>
      <c r="Y495" s="2"/>
      <c r="Z495" s="2"/>
      <c r="AA495" s="2"/>
    </row>
    <row r="496" customFormat="false" ht="15.75" hidden="false" customHeight="false" outlineLevel="0" collapsed="false">
      <c r="A496" s="2"/>
      <c r="B496" s="2" t="s">
        <v>83</v>
      </c>
      <c r="C496" s="2" t="s">
        <v>93</v>
      </c>
      <c r="D496" s="2" t="s">
        <v>96</v>
      </c>
      <c r="E496" s="2" t="s">
        <v>72</v>
      </c>
      <c r="F496" s="2" t="s">
        <v>63</v>
      </c>
      <c r="G496" s="2"/>
      <c r="H496" s="2"/>
      <c r="I496" s="2"/>
      <c r="J496" s="2"/>
      <c r="K496" s="2"/>
      <c r="L496" s="2"/>
      <c r="M496" s="2"/>
      <c r="N496" s="2"/>
      <c r="O496" s="2"/>
      <c r="P496" s="2"/>
      <c r="Q496" s="2"/>
      <c r="R496" s="2"/>
      <c r="S496" s="2"/>
      <c r="T496" s="2"/>
      <c r="U496" s="2"/>
      <c r="V496" s="2"/>
      <c r="W496" s="2"/>
      <c r="X496" s="2"/>
      <c r="Y496" s="2"/>
      <c r="Z496" s="2"/>
      <c r="AA496" s="2"/>
    </row>
    <row r="497" customFormat="false" ht="15.75" hidden="false" customHeight="false" outlineLevel="0" collapsed="false">
      <c r="A497" s="2"/>
      <c r="B497" s="2" t="s">
        <v>96</v>
      </c>
      <c r="C497" s="2" t="s">
        <v>66</v>
      </c>
      <c r="D497" s="2" t="s">
        <v>89</v>
      </c>
      <c r="E497" s="2" t="s">
        <v>69</v>
      </c>
      <c r="F497" s="2" t="s">
        <v>147</v>
      </c>
      <c r="G497" s="2"/>
      <c r="H497" s="2"/>
      <c r="I497" s="2"/>
      <c r="J497" s="2"/>
      <c r="K497" s="2"/>
      <c r="L497" s="2"/>
      <c r="M497" s="2"/>
      <c r="N497" s="2"/>
      <c r="O497" s="2"/>
      <c r="P497" s="2"/>
      <c r="Q497" s="2"/>
      <c r="R497" s="2"/>
      <c r="S497" s="2"/>
      <c r="T497" s="2"/>
      <c r="U497" s="2"/>
      <c r="V497" s="2"/>
      <c r="W497" s="2"/>
      <c r="X497" s="2"/>
      <c r="Y497" s="2"/>
      <c r="Z497" s="2"/>
      <c r="AA497" s="2"/>
    </row>
    <row r="498" customFormat="false" ht="15.75" hidden="false" customHeight="false" outlineLevel="0" collapsed="false">
      <c r="A498" s="2"/>
      <c r="B498" s="2" t="s">
        <v>72</v>
      </c>
      <c r="C498" s="2" t="s">
        <v>96</v>
      </c>
      <c r="D498" s="2" t="s">
        <v>83</v>
      </c>
      <c r="E498" s="2" t="s">
        <v>83</v>
      </c>
      <c r="F498" s="2" t="s">
        <v>78</v>
      </c>
      <c r="G498" s="2"/>
      <c r="H498" s="2"/>
      <c r="I498" s="2"/>
      <c r="J498" s="2"/>
      <c r="K498" s="2"/>
      <c r="L498" s="2"/>
      <c r="M498" s="2"/>
      <c r="N498" s="2"/>
      <c r="O498" s="2"/>
      <c r="P498" s="2"/>
      <c r="Q498" s="2"/>
      <c r="R498" s="2"/>
      <c r="S498" s="2"/>
      <c r="T498" s="2"/>
      <c r="U498" s="2"/>
      <c r="V498" s="2"/>
      <c r="W498" s="2"/>
      <c r="X498" s="2"/>
      <c r="Y498" s="2"/>
      <c r="Z498" s="2"/>
      <c r="AA498" s="2"/>
    </row>
    <row r="499" customFormat="false" ht="15.75" hidden="false" customHeight="false" outlineLevel="0" collapsed="false">
      <c r="A499" s="2"/>
      <c r="B499" s="2" t="s">
        <v>72</v>
      </c>
      <c r="C499" s="2" t="s">
        <v>63</v>
      </c>
      <c r="D499" s="2" t="s">
        <v>75</v>
      </c>
      <c r="E499" s="2" t="s">
        <v>69</v>
      </c>
      <c r="F499" s="2" t="s">
        <v>78</v>
      </c>
      <c r="G499" s="2"/>
      <c r="H499" s="2"/>
      <c r="I499" s="2"/>
      <c r="J499" s="2"/>
      <c r="K499" s="2"/>
      <c r="L499" s="2"/>
      <c r="M499" s="2"/>
      <c r="N499" s="2"/>
      <c r="O499" s="2"/>
      <c r="P499" s="2"/>
      <c r="Q499" s="2"/>
      <c r="R499" s="2"/>
      <c r="S499" s="2"/>
      <c r="T499" s="2"/>
      <c r="U499" s="2"/>
      <c r="V499" s="2"/>
      <c r="W499" s="2"/>
      <c r="X499" s="2"/>
      <c r="Y499" s="2"/>
      <c r="Z499" s="2"/>
      <c r="AA499" s="2"/>
    </row>
    <row r="500" customFormat="false" ht="15.75" hidden="false" customHeight="false" outlineLevel="0" collapsed="false">
      <c r="A500" s="2"/>
      <c r="B500" s="2" t="s">
        <v>96</v>
      </c>
      <c r="C500" s="2" t="s">
        <v>75</v>
      </c>
      <c r="D500" s="2" t="s">
        <v>66</v>
      </c>
      <c r="E500" s="2" t="s">
        <v>96</v>
      </c>
      <c r="F500" s="2" t="s">
        <v>93</v>
      </c>
      <c r="G500" s="2"/>
      <c r="H500" s="2"/>
      <c r="I500" s="2"/>
      <c r="J500" s="2"/>
      <c r="K500" s="2"/>
      <c r="L500" s="2"/>
      <c r="M500" s="2"/>
      <c r="N500" s="2"/>
      <c r="O500" s="2"/>
      <c r="P500" s="2"/>
      <c r="Q500" s="2"/>
      <c r="R500" s="2"/>
      <c r="S500" s="2"/>
      <c r="T500" s="2"/>
      <c r="U500" s="2"/>
      <c r="V500" s="2"/>
      <c r="W500" s="2"/>
      <c r="X500" s="2"/>
      <c r="Y500" s="2"/>
      <c r="Z500" s="2"/>
      <c r="AA500" s="2"/>
    </row>
    <row r="501" customFormat="false" ht="15.75" hidden="false" customHeight="false" outlineLevel="0" collapsed="false">
      <c r="A501" s="2"/>
      <c r="B501" s="2" t="s">
        <v>81</v>
      </c>
      <c r="C501" s="2" t="s">
        <v>149</v>
      </c>
      <c r="D501" s="2" t="s">
        <v>89</v>
      </c>
      <c r="E501" s="2" t="s">
        <v>72</v>
      </c>
      <c r="F501" s="2" t="s">
        <v>81</v>
      </c>
      <c r="G501" s="2"/>
      <c r="H501" s="2"/>
      <c r="I501" s="2"/>
      <c r="J501" s="2"/>
      <c r="K501" s="2"/>
      <c r="L501" s="2"/>
      <c r="M501" s="2"/>
      <c r="N501" s="2"/>
      <c r="O501" s="2"/>
      <c r="P501" s="2"/>
      <c r="Q501" s="2"/>
      <c r="R501" s="2"/>
      <c r="S501" s="2"/>
      <c r="T501" s="2"/>
      <c r="U501" s="2"/>
      <c r="V501" s="2"/>
      <c r="W501" s="2"/>
      <c r="X501" s="2"/>
      <c r="Y501" s="2"/>
      <c r="Z501" s="2"/>
      <c r="AA501" s="2"/>
    </row>
    <row r="502" customFormat="false" ht="15.75" hidden="false" customHeight="false" outlineLevel="0" collapsed="false">
      <c r="A502" s="2"/>
      <c r="B502" s="2" t="s">
        <v>83</v>
      </c>
      <c r="C502" s="2" t="s">
        <v>93</v>
      </c>
      <c r="D502" s="2" t="s">
        <v>69</v>
      </c>
      <c r="E502" s="2" t="s">
        <v>72</v>
      </c>
      <c r="F502" s="2" t="s">
        <v>96</v>
      </c>
      <c r="G502" s="2"/>
      <c r="H502" s="2"/>
      <c r="I502" s="2"/>
      <c r="J502" s="2"/>
      <c r="K502" s="2"/>
      <c r="L502" s="2"/>
      <c r="M502" s="2"/>
      <c r="N502" s="2"/>
      <c r="O502" s="2"/>
      <c r="P502" s="2"/>
      <c r="Q502" s="2"/>
      <c r="R502" s="2"/>
      <c r="S502" s="2"/>
      <c r="T502" s="2"/>
      <c r="U502" s="2"/>
      <c r="V502" s="2"/>
      <c r="W502" s="2"/>
      <c r="X502" s="2"/>
      <c r="Y502" s="2"/>
      <c r="Z502" s="2"/>
      <c r="AA502" s="2"/>
    </row>
    <row r="503" customFormat="false" ht="15.75" hidden="false" customHeight="false" outlineLevel="0" collapsed="false">
      <c r="A503" s="2"/>
      <c r="B503" s="2" t="s">
        <v>147</v>
      </c>
      <c r="C503" s="2" t="s">
        <v>149</v>
      </c>
      <c r="D503" s="2" t="s">
        <v>89</v>
      </c>
      <c r="E503" s="2" t="s">
        <v>89</v>
      </c>
      <c r="F503" s="2" t="s">
        <v>81</v>
      </c>
      <c r="G503" s="2"/>
      <c r="H503" s="2"/>
      <c r="I503" s="2"/>
      <c r="J503" s="2"/>
      <c r="K503" s="2"/>
      <c r="L503" s="2"/>
      <c r="M503" s="2"/>
      <c r="N503" s="2"/>
      <c r="O503" s="2"/>
      <c r="P503" s="2"/>
      <c r="Q503" s="2"/>
      <c r="R503" s="2"/>
      <c r="S503" s="2"/>
      <c r="T503" s="2"/>
      <c r="U503" s="2"/>
      <c r="V503" s="2"/>
      <c r="W503" s="2"/>
      <c r="X503" s="2"/>
      <c r="Y503" s="2"/>
      <c r="Z503" s="2"/>
      <c r="AA503" s="2"/>
    </row>
    <row r="504" customFormat="false" ht="15.75" hidden="false" customHeight="false" outlineLevel="0" collapsed="false">
      <c r="A504" s="2"/>
      <c r="B504" s="2" t="s">
        <v>83</v>
      </c>
      <c r="C504" s="2" t="s">
        <v>66</v>
      </c>
      <c r="D504" s="2" t="s">
        <v>69</v>
      </c>
      <c r="E504" s="2" t="s">
        <v>75</v>
      </c>
      <c r="F504" s="2" t="s">
        <v>75</v>
      </c>
      <c r="G504" s="2"/>
      <c r="H504" s="2"/>
      <c r="I504" s="2"/>
      <c r="J504" s="2"/>
      <c r="K504" s="2"/>
      <c r="L504" s="2"/>
      <c r="M504" s="2"/>
      <c r="N504" s="2"/>
      <c r="O504" s="2"/>
      <c r="P504" s="2"/>
      <c r="Q504" s="2"/>
      <c r="R504" s="2"/>
      <c r="S504" s="2"/>
      <c r="T504" s="2"/>
      <c r="U504" s="2"/>
      <c r="V504" s="2"/>
      <c r="W504" s="2"/>
      <c r="X504" s="2"/>
      <c r="Y504" s="2"/>
      <c r="Z504" s="2"/>
      <c r="AA504" s="2"/>
    </row>
    <row r="505" customFormat="false" ht="15.75" hidden="false" customHeight="false" outlineLevel="0" collapsed="false">
      <c r="A505" s="2"/>
      <c r="B505" s="2" t="s">
        <v>66</v>
      </c>
      <c r="C505" s="2" t="s">
        <v>78</v>
      </c>
      <c r="D505" s="2" t="s">
        <v>83</v>
      </c>
      <c r="E505" s="2" t="s">
        <v>66</v>
      </c>
      <c r="F505" s="2" t="s">
        <v>83</v>
      </c>
      <c r="G505" s="2"/>
      <c r="H505" s="2"/>
      <c r="I505" s="2"/>
      <c r="J505" s="2"/>
      <c r="K505" s="2"/>
      <c r="L505" s="2"/>
      <c r="M505" s="2"/>
      <c r="N505" s="2"/>
      <c r="O505" s="2"/>
      <c r="P505" s="2"/>
      <c r="Q505" s="2"/>
      <c r="R505" s="2"/>
      <c r="S505" s="2"/>
      <c r="T505" s="2"/>
      <c r="U505" s="2"/>
      <c r="V505" s="2"/>
      <c r="W505" s="2"/>
      <c r="X505" s="2"/>
      <c r="Y505" s="2"/>
      <c r="Z505" s="2"/>
      <c r="AA505" s="2"/>
    </row>
    <row r="506" customFormat="false" ht="15.75" hidden="false" customHeight="false" outlineLevel="0" collapsed="false">
      <c r="A506" s="2"/>
      <c r="B506" s="2" t="s">
        <v>83</v>
      </c>
      <c r="C506" s="2" t="s">
        <v>78</v>
      </c>
      <c r="D506" s="2" t="s">
        <v>89</v>
      </c>
      <c r="E506" s="2" t="s">
        <v>89</v>
      </c>
      <c r="F506" s="2" t="s">
        <v>78</v>
      </c>
      <c r="G506" s="2"/>
      <c r="H506" s="2"/>
      <c r="I506" s="2"/>
      <c r="J506" s="2"/>
      <c r="K506" s="2"/>
      <c r="L506" s="2"/>
      <c r="M506" s="2"/>
      <c r="N506" s="2"/>
      <c r="O506" s="2"/>
      <c r="P506" s="2"/>
      <c r="Q506" s="2"/>
      <c r="R506" s="2"/>
      <c r="S506" s="2"/>
      <c r="T506" s="2"/>
      <c r="U506" s="2"/>
      <c r="V506" s="2"/>
      <c r="W506" s="2"/>
      <c r="X506" s="2"/>
      <c r="Y506" s="2"/>
      <c r="Z506" s="2"/>
      <c r="AA506" s="2"/>
    </row>
    <row r="507" customFormat="false" ht="15.75" hidden="false" customHeight="false" outlineLevel="0" collapsed="false">
      <c r="A507" s="2"/>
      <c r="B507" s="2" t="s">
        <v>96</v>
      </c>
      <c r="C507" s="2" t="s">
        <v>63</v>
      </c>
      <c r="D507" s="2" t="s">
        <v>93</v>
      </c>
      <c r="E507" s="2" t="s">
        <v>72</v>
      </c>
      <c r="F507" s="2" t="s">
        <v>89</v>
      </c>
      <c r="G507" s="2"/>
      <c r="H507" s="2"/>
      <c r="I507" s="2"/>
      <c r="J507" s="2"/>
      <c r="K507" s="2"/>
      <c r="L507" s="2"/>
      <c r="M507" s="2"/>
      <c r="N507" s="2"/>
      <c r="O507" s="2"/>
      <c r="P507" s="2"/>
      <c r="Q507" s="2"/>
      <c r="R507" s="2"/>
      <c r="S507" s="2"/>
      <c r="T507" s="2"/>
      <c r="U507" s="2"/>
      <c r="V507" s="2"/>
      <c r="W507" s="2"/>
      <c r="X507" s="2"/>
      <c r="Y507" s="2"/>
      <c r="Z507" s="2"/>
      <c r="AA507" s="2"/>
    </row>
    <row r="508" customFormat="false" ht="15.75" hidden="false" customHeight="false" outlineLevel="0" collapsed="false">
      <c r="A508" s="2"/>
      <c r="B508" s="2" t="s">
        <v>96</v>
      </c>
      <c r="C508" s="2" t="s">
        <v>69</v>
      </c>
      <c r="D508" s="2" t="s">
        <v>149</v>
      </c>
      <c r="E508" s="2" t="s">
        <v>75</v>
      </c>
      <c r="F508" s="2" t="s">
        <v>78</v>
      </c>
      <c r="G508" s="2"/>
      <c r="H508" s="2"/>
      <c r="I508" s="2"/>
      <c r="J508" s="2"/>
      <c r="K508" s="2"/>
      <c r="L508" s="2"/>
      <c r="M508" s="2"/>
      <c r="N508" s="2"/>
      <c r="O508" s="2"/>
      <c r="P508" s="2"/>
      <c r="Q508" s="2"/>
      <c r="R508" s="2"/>
      <c r="S508" s="2"/>
      <c r="T508" s="2"/>
      <c r="U508" s="2"/>
      <c r="V508" s="2"/>
      <c r="W508" s="2"/>
      <c r="X508" s="2"/>
      <c r="Y508" s="2"/>
      <c r="Z508" s="2"/>
      <c r="AA508" s="2"/>
    </row>
    <row r="509" customFormat="false" ht="15.75" hidden="false" customHeight="false" outlineLevel="0" collapsed="false">
      <c r="A509" s="2"/>
      <c r="B509" s="2" t="s">
        <v>72</v>
      </c>
      <c r="C509" s="2" t="s">
        <v>89</v>
      </c>
      <c r="D509" s="2" t="s">
        <v>63</v>
      </c>
      <c r="E509" s="2" t="s">
        <v>89</v>
      </c>
      <c r="F509" s="2" t="s">
        <v>66</v>
      </c>
      <c r="G509" s="2"/>
      <c r="H509" s="2"/>
      <c r="I509" s="2"/>
      <c r="J509" s="2"/>
      <c r="K509" s="2"/>
      <c r="L509" s="2"/>
      <c r="M509" s="2"/>
      <c r="N509" s="2"/>
      <c r="O509" s="2"/>
      <c r="P509" s="2"/>
      <c r="Q509" s="2"/>
      <c r="R509" s="2"/>
      <c r="S509" s="2"/>
      <c r="T509" s="2"/>
      <c r="U509" s="2"/>
      <c r="V509" s="2"/>
      <c r="W509" s="2"/>
      <c r="X509" s="2"/>
      <c r="Y509" s="2"/>
      <c r="Z509" s="2"/>
      <c r="AA509" s="2"/>
    </row>
    <row r="510" customFormat="false" ht="15.75" hidden="false" customHeight="false" outlineLevel="0" collapsed="false">
      <c r="A510" s="2"/>
      <c r="B510" s="2" t="s">
        <v>89</v>
      </c>
      <c r="C510" s="2" t="s">
        <v>78</v>
      </c>
      <c r="D510" s="2" t="s">
        <v>69</v>
      </c>
      <c r="E510" s="2" t="s">
        <v>83</v>
      </c>
      <c r="F510" s="2" t="s">
        <v>81</v>
      </c>
      <c r="G510" s="2"/>
      <c r="H510" s="2"/>
      <c r="I510" s="2"/>
      <c r="J510" s="2"/>
      <c r="K510" s="2"/>
      <c r="L510" s="2"/>
      <c r="M510" s="2"/>
      <c r="N510" s="2"/>
      <c r="O510" s="2"/>
      <c r="P510" s="2"/>
      <c r="Q510" s="2"/>
      <c r="R510" s="2"/>
      <c r="S510" s="2"/>
      <c r="T510" s="2"/>
      <c r="U510" s="2"/>
      <c r="V510" s="2"/>
      <c r="W510" s="2"/>
      <c r="X510" s="2"/>
      <c r="Y510" s="2"/>
      <c r="Z510" s="2"/>
      <c r="AA510" s="2"/>
    </row>
    <row r="511" customFormat="false" ht="15.75" hidden="false" customHeight="false" outlineLevel="0" collapsed="false">
      <c r="A511" s="2"/>
      <c r="B511" s="2" t="s">
        <v>63</v>
      </c>
      <c r="C511" s="2" t="s">
        <v>96</v>
      </c>
      <c r="D511" s="2" t="s">
        <v>75</v>
      </c>
      <c r="E511" s="2" t="s">
        <v>96</v>
      </c>
      <c r="F511" s="2" t="s">
        <v>96</v>
      </c>
      <c r="G511" s="2"/>
      <c r="H511" s="2"/>
      <c r="I511" s="2"/>
      <c r="J511" s="2"/>
      <c r="K511" s="2"/>
      <c r="L511" s="2"/>
      <c r="M511" s="2"/>
      <c r="N511" s="2"/>
      <c r="O511" s="2"/>
      <c r="P511" s="2"/>
      <c r="Q511" s="2"/>
      <c r="R511" s="2"/>
      <c r="S511" s="2"/>
      <c r="T511" s="2"/>
      <c r="U511" s="2"/>
      <c r="V511" s="2"/>
      <c r="W511" s="2"/>
      <c r="X511" s="2"/>
      <c r="Y511" s="2"/>
      <c r="Z511" s="2"/>
      <c r="AA511" s="2"/>
    </row>
    <row r="512" customFormat="false" ht="15.75" hidden="false" customHeight="false" outlineLevel="0" collapsed="false">
      <c r="A512" s="2"/>
      <c r="B512" s="2" t="s">
        <v>69</v>
      </c>
      <c r="C512" s="2" t="s">
        <v>93</v>
      </c>
      <c r="D512" s="2" t="s">
        <v>96</v>
      </c>
      <c r="E512" s="2" t="s">
        <v>93</v>
      </c>
      <c r="F512" s="2" t="s">
        <v>81</v>
      </c>
      <c r="G512" s="2"/>
      <c r="H512" s="2"/>
      <c r="I512" s="2"/>
      <c r="J512" s="2"/>
      <c r="K512" s="2"/>
      <c r="L512" s="2"/>
      <c r="M512" s="2"/>
      <c r="N512" s="2"/>
      <c r="O512" s="2"/>
      <c r="P512" s="2"/>
      <c r="Q512" s="2"/>
      <c r="R512" s="2"/>
      <c r="S512" s="2"/>
      <c r="T512" s="2"/>
      <c r="U512" s="2"/>
      <c r="V512" s="2"/>
      <c r="W512" s="2"/>
      <c r="X512" s="2"/>
      <c r="Y512" s="2"/>
      <c r="Z512" s="2"/>
      <c r="AA512" s="2"/>
    </row>
    <row r="513" customFormat="false" ht="15.75" hidden="false" customHeight="false" outlineLevel="0" collapsed="false">
      <c r="A513" s="2"/>
      <c r="B513" s="2" t="s">
        <v>66</v>
      </c>
      <c r="C513" s="2" t="s">
        <v>75</v>
      </c>
      <c r="D513" s="2" t="s">
        <v>78</v>
      </c>
      <c r="E513" s="2" t="s">
        <v>81</v>
      </c>
      <c r="F513" s="2" t="s">
        <v>66</v>
      </c>
      <c r="G513" s="2"/>
      <c r="H513" s="2"/>
      <c r="I513" s="2"/>
      <c r="J513" s="2"/>
      <c r="K513" s="2"/>
      <c r="L513" s="2"/>
      <c r="M513" s="2"/>
      <c r="N513" s="2"/>
      <c r="O513" s="2"/>
      <c r="P513" s="2"/>
      <c r="Q513" s="2"/>
      <c r="R513" s="2"/>
      <c r="S513" s="2"/>
      <c r="T513" s="2"/>
      <c r="U513" s="2"/>
      <c r="V513" s="2"/>
      <c r="W513" s="2"/>
      <c r="X513" s="2"/>
      <c r="Y513" s="2"/>
      <c r="Z513" s="2"/>
      <c r="AA513" s="2"/>
    </row>
    <row r="514" customFormat="false" ht="15.75" hidden="false" customHeight="false" outlineLevel="0" collapsed="false">
      <c r="A514" s="2"/>
      <c r="B514" s="2" t="s">
        <v>81</v>
      </c>
      <c r="C514" s="2" t="s">
        <v>66</v>
      </c>
      <c r="D514" s="2" t="s">
        <v>66</v>
      </c>
      <c r="E514" s="2" t="s">
        <v>96</v>
      </c>
      <c r="F514" s="2" t="s">
        <v>78</v>
      </c>
      <c r="G514" s="2"/>
      <c r="H514" s="2"/>
      <c r="I514" s="2"/>
      <c r="J514" s="2"/>
      <c r="K514" s="2"/>
      <c r="L514" s="2"/>
      <c r="M514" s="2"/>
      <c r="N514" s="2"/>
      <c r="O514" s="2"/>
      <c r="P514" s="2"/>
      <c r="Q514" s="2"/>
      <c r="R514" s="2"/>
      <c r="S514" s="2"/>
      <c r="T514" s="2"/>
      <c r="U514" s="2"/>
      <c r="V514" s="2"/>
      <c r="W514" s="2"/>
      <c r="X514" s="2"/>
      <c r="Y514" s="2"/>
      <c r="Z514" s="2"/>
      <c r="AA514" s="2"/>
    </row>
    <row r="515" customFormat="false" ht="15.75" hidden="false" customHeight="false" outlineLevel="0" collapsed="false">
      <c r="A515" s="2"/>
      <c r="B515" s="2" t="s">
        <v>93</v>
      </c>
      <c r="C515" s="2" t="s">
        <v>75</v>
      </c>
      <c r="D515" s="2" t="s">
        <v>83</v>
      </c>
      <c r="E515" s="2" t="s">
        <v>75</v>
      </c>
      <c r="F515" s="2" t="s">
        <v>75</v>
      </c>
      <c r="G515" s="2"/>
      <c r="H515" s="2"/>
      <c r="I515" s="2"/>
      <c r="J515" s="2"/>
      <c r="K515" s="2"/>
      <c r="L515" s="2"/>
      <c r="M515" s="2"/>
      <c r="N515" s="2"/>
      <c r="O515" s="2"/>
      <c r="P515" s="2"/>
      <c r="Q515" s="2"/>
      <c r="R515" s="2"/>
      <c r="S515" s="2"/>
      <c r="T515" s="2"/>
      <c r="U515" s="2"/>
      <c r="V515" s="2"/>
      <c r="W515" s="2"/>
      <c r="X515" s="2"/>
      <c r="Y515" s="2"/>
      <c r="Z515" s="2"/>
      <c r="AA515" s="2"/>
    </row>
    <row r="516" customFormat="false" ht="15.75" hidden="false" customHeight="false" outlineLevel="0" collapsed="false">
      <c r="A516" s="2"/>
      <c r="B516" s="2" t="s">
        <v>78</v>
      </c>
      <c r="C516" s="2" t="s">
        <v>72</v>
      </c>
      <c r="D516" s="2" t="s">
        <v>89</v>
      </c>
      <c r="E516" s="2" t="s">
        <v>93</v>
      </c>
      <c r="F516" s="2" t="s">
        <v>63</v>
      </c>
      <c r="G516" s="2"/>
      <c r="H516" s="2"/>
      <c r="I516" s="2"/>
      <c r="J516" s="2"/>
      <c r="K516" s="2"/>
      <c r="L516" s="2"/>
      <c r="M516" s="2"/>
      <c r="N516" s="2"/>
      <c r="O516" s="2"/>
      <c r="P516" s="2"/>
      <c r="Q516" s="2"/>
      <c r="R516" s="2"/>
      <c r="S516" s="2"/>
      <c r="T516" s="2"/>
      <c r="U516" s="2"/>
      <c r="V516" s="2"/>
      <c r="W516" s="2"/>
      <c r="X516" s="2"/>
      <c r="Y516" s="2"/>
      <c r="Z516" s="2"/>
      <c r="AA516" s="2"/>
    </row>
    <row r="517" customFormat="false" ht="15.75" hidden="false" customHeight="false" outlineLevel="0" collapsed="false">
      <c r="A517" s="2"/>
      <c r="B517" s="2" t="s">
        <v>78</v>
      </c>
      <c r="C517" s="2" t="s">
        <v>96</v>
      </c>
      <c r="D517" s="2" t="s">
        <v>81</v>
      </c>
      <c r="E517" s="2" t="s">
        <v>66</v>
      </c>
      <c r="F517" s="2" t="s">
        <v>89</v>
      </c>
      <c r="G517" s="2"/>
      <c r="H517" s="2"/>
      <c r="I517" s="2"/>
      <c r="J517" s="2"/>
      <c r="K517" s="2"/>
      <c r="L517" s="2"/>
      <c r="M517" s="2"/>
      <c r="N517" s="2"/>
      <c r="O517" s="2"/>
      <c r="P517" s="2"/>
      <c r="Q517" s="2"/>
      <c r="R517" s="2"/>
      <c r="S517" s="2"/>
      <c r="T517" s="2"/>
      <c r="U517" s="2"/>
      <c r="V517" s="2"/>
      <c r="W517" s="2"/>
      <c r="X517" s="2"/>
      <c r="Y517" s="2"/>
      <c r="Z517" s="2"/>
      <c r="AA517" s="2"/>
    </row>
    <row r="518" customFormat="false" ht="15.75" hidden="false" customHeight="false" outlineLevel="0" collapsed="false">
      <c r="A518" s="2"/>
      <c r="B518" s="2" t="s">
        <v>78</v>
      </c>
      <c r="C518" s="2" t="s">
        <v>93</v>
      </c>
      <c r="D518" s="2" t="s">
        <v>69</v>
      </c>
      <c r="E518" s="2" t="s">
        <v>75</v>
      </c>
      <c r="F518" s="2" t="s">
        <v>81</v>
      </c>
      <c r="G518" s="2"/>
      <c r="H518" s="2"/>
      <c r="I518" s="2"/>
      <c r="J518" s="2"/>
      <c r="K518" s="2"/>
      <c r="L518" s="2"/>
      <c r="M518" s="2"/>
      <c r="N518" s="2"/>
      <c r="O518" s="2"/>
      <c r="P518" s="2"/>
      <c r="Q518" s="2"/>
      <c r="R518" s="2"/>
      <c r="S518" s="2"/>
      <c r="T518" s="2"/>
      <c r="U518" s="2"/>
      <c r="V518" s="2"/>
      <c r="W518" s="2"/>
      <c r="X518" s="2"/>
      <c r="Y518" s="2"/>
      <c r="Z518" s="2"/>
      <c r="AA518" s="2"/>
    </row>
    <row r="519" customFormat="false" ht="15.75" hidden="false" customHeight="false" outlineLevel="0" collapsed="false">
      <c r="A519" s="2"/>
      <c r="B519" s="2" t="s">
        <v>93</v>
      </c>
      <c r="C519" s="2" t="s">
        <v>93</v>
      </c>
      <c r="D519" s="2" t="s">
        <v>66</v>
      </c>
      <c r="E519" s="2" t="s">
        <v>89</v>
      </c>
      <c r="F519" s="2" t="s">
        <v>147</v>
      </c>
      <c r="G519" s="2"/>
      <c r="H519" s="2"/>
      <c r="I519" s="2"/>
      <c r="J519" s="2"/>
      <c r="K519" s="2"/>
      <c r="L519" s="2"/>
      <c r="M519" s="2"/>
      <c r="N519" s="2"/>
      <c r="O519" s="2"/>
      <c r="P519" s="2"/>
      <c r="Q519" s="2"/>
      <c r="R519" s="2"/>
      <c r="S519" s="2"/>
      <c r="T519" s="2"/>
      <c r="U519" s="2"/>
      <c r="V519" s="2"/>
      <c r="W519" s="2"/>
      <c r="X519" s="2"/>
      <c r="Y519" s="2"/>
      <c r="Z519" s="2"/>
      <c r="AA519" s="2"/>
    </row>
    <row r="520" customFormat="false" ht="15.75" hidden="false" customHeight="false" outlineLevel="0" collapsed="false">
      <c r="A520" s="2"/>
      <c r="B520" s="2" t="s">
        <v>72</v>
      </c>
      <c r="C520" s="2" t="s">
        <v>93</v>
      </c>
      <c r="D520" s="2" t="s">
        <v>66</v>
      </c>
      <c r="E520" s="2" t="s">
        <v>78</v>
      </c>
      <c r="F520" s="2" t="s">
        <v>69</v>
      </c>
      <c r="G520" s="2"/>
      <c r="H520" s="2"/>
      <c r="I520" s="2"/>
      <c r="J520" s="2"/>
      <c r="K520" s="2"/>
      <c r="L520" s="2"/>
      <c r="M520" s="2"/>
      <c r="N520" s="2"/>
      <c r="O520" s="2"/>
      <c r="P520" s="2"/>
      <c r="Q520" s="2"/>
      <c r="R520" s="2"/>
      <c r="S520" s="2"/>
      <c r="T520" s="2"/>
      <c r="U520" s="2"/>
      <c r="V520" s="2"/>
      <c r="W520" s="2"/>
      <c r="X520" s="2"/>
      <c r="Y520" s="2"/>
      <c r="Z520" s="2"/>
      <c r="AA520" s="2"/>
    </row>
    <row r="521" customFormat="false" ht="15.75" hidden="false" customHeight="false" outlineLevel="0" collapsed="false">
      <c r="A521" s="2"/>
      <c r="B521" s="2" t="s">
        <v>69</v>
      </c>
      <c r="C521" s="2" t="s">
        <v>75</v>
      </c>
      <c r="D521" s="2" t="s">
        <v>93</v>
      </c>
      <c r="E521" s="2" t="s">
        <v>63</v>
      </c>
      <c r="F521" s="2" t="s">
        <v>66</v>
      </c>
      <c r="G521" s="2"/>
      <c r="H521" s="2"/>
      <c r="I521" s="2"/>
      <c r="J521" s="2"/>
      <c r="K521" s="2"/>
      <c r="L521" s="2"/>
      <c r="M521" s="2"/>
      <c r="N521" s="2"/>
      <c r="O521" s="2"/>
      <c r="P521" s="2"/>
      <c r="Q521" s="2"/>
      <c r="R521" s="2"/>
      <c r="S521" s="2"/>
      <c r="T521" s="2"/>
      <c r="U521" s="2"/>
      <c r="V521" s="2"/>
      <c r="W521" s="2"/>
      <c r="X521" s="2"/>
      <c r="Y521" s="2"/>
      <c r="Z521" s="2"/>
      <c r="AA521" s="2"/>
    </row>
    <row r="522" customFormat="false" ht="15.75" hidden="false" customHeight="false" outlineLevel="0" collapsed="false">
      <c r="A522" s="2"/>
      <c r="B522" s="2" t="s">
        <v>75</v>
      </c>
      <c r="C522" s="2" t="s">
        <v>72</v>
      </c>
      <c r="D522" s="2" t="s">
        <v>63</v>
      </c>
      <c r="E522" s="2" t="s">
        <v>81</v>
      </c>
      <c r="F522" s="2" t="s">
        <v>72</v>
      </c>
      <c r="G522" s="2"/>
      <c r="H522" s="2"/>
      <c r="I522" s="2"/>
      <c r="J522" s="2"/>
      <c r="K522" s="2"/>
      <c r="L522" s="2"/>
      <c r="M522" s="2"/>
      <c r="N522" s="2"/>
      <c r="O522" s="2"/>
      <c r="P522" s="2"/>
      <c r="Q522" s="2"/>
      <c r="R522" s="2"/>
      <c r="S522" s="2"/>
      <c r="T522" s="2"/>
      <c r="U522" s="2"/>
      <c r="V522" s="2"/>
      <c r="W522" s="2"/>
      <c r="X522" s="2"/>
      <c r="Y522" s="2"/>
      <c r="Z522" s="2"/>
      <c r="AA522" s="2"/>
    </row>
    <row r="523" customFormat="false" ht="15.75" hidden="false" customHeight="false" outlineLevel="0" collapsed="false">
      <c r="A523" s="2"/>
      <c r="B523" s="2" t="s">
        <v>75</v>
      </c>
      <c r="C523" s="2" t="s">
        <v>75</v>
      </c>
      <c r="D523" s="2" t="s">
        <v>69</v>
      </c>
      <c r="E523" s="2" t="s">
        <v>75</v>
      </c>
      <c r="F523" s="2" t="s">
        <v>93</v>
      </c>
      <c r="G523" s="2"/>
      <c r="H523" s="2"/>
      <c r="I523" s="2"/>
      <c r="J523" s="2"/>
      <c r="K523" s="2"/>
      <c r="L523" s="2"/>
      <c r="M523" s="2"/>
      <c r="N523" s="2"/>
      <c r="O523" s="2"/>
      <c r="P523" s="2"/>
      <c r="Q523" s="2"/>
      <c r="R523" s="2"/>
      <c r="S523" s="2"/>
      <c r="T523" s="2"/>
      <c r="U523" s="2"/>
      <c r="V523" s="2"/>
      <c r="W523" s="2"/>
      <c r="X523" s="2"/>
      <c r="Y523" s="2"/>
      <c r="Z523" s="2"/>
      <c r="AA523" s="2"/>
    </row>
    <row r="524" customFormat="false" ht="15.75" hidden="false" customHeight="false" outlineLevel="0" collapsed="false">
      <c r="A524" s="2"/>
      <c r="B524" s="2" t="s">
        <v>63</v>
      </c>
      <c r="C524" s="2" t="s">
        <v>81</v>
      </c>
      <c r="D524" s="2" t="s">
        <v>81</v>
      </c>
      <c r="E524" s="2" t="s">
        <v>81</v>
      </c>
      <c r="F524" s="2" t="s">
        <v>93</v>
      </c>
      <c r="G524" s="2"/>
      <c r="H524" s="2"/>
      <c r="I524" s="2"/>
      <c r="J524" s="2"/>
      <c r="K524" s="2"/>
      <c r="L524" s="2"/>
      <c r="M524" s="2"/>
      <c r="N524" s="2"/>
      <c r="O524" s="2"/>
      <c r="P524" s="2"/>
      <c r="Q524" s="2"/>
      <c r="R524" s="2"/>
      <c r="S524" s="2"/>
      <c r="T524" s="2"/>
      <c r="U524" s="2"/>
      <c r="V524" s="2"/>
      <c r="W524" s="2"/>
      <c r="X524" s="2"/>
      <c r="Y524" s="2"/>
      <c r="Z524" s="2"/>
      <c r="AA524" s="2"/>
    </row>
    <row r="525" customFormat="false" ht="15.75" hidden="false" customHeight="false" outlineLevel="0" collapsed="false">
      <c r="A525" s="2"/>
      <c r="B525" s="2" t="s">
        <v>81</v>
      </c>
      <c r="C525" s="2" t="s">
        <v>66</v>
      </c>
      <c r="D525" s="2" t="s">
        <v>75</v>
      </c>
      <c r="E525" s="2" t="s">
        <v>72</v>
      </c>
      <c r="F525" s="2" t="s">
        <v>81</v>
      </c>
      <c r="G525" s="2"/>
      <c r="H525" s="2"/>
      <c r="I525" s="2"/>
      <c r="J525" s="2"/>
      <c r="K525" s="2"/>
      <c r="L525" s="2"/>
      <c r="M525" s="2"/>
      <c r="N525" s="2"/>
      <c r="O525" s="2"/>
      <c r="P525" s="2"/>
      <c r="Q525" s="2"/>
      <c r="R525" s="2"/>
      <c r="S525" s="2"/>
      <c r="T525" s="2"/>
      <c r="U525" s="2"/>
      <c r="V525" s="2"/>
      <c r="W525" s="2"/>
      <c r="X525" s="2"/>
      <c r="Y525" s="2"/>
      <c r="Z525" s="2"/>
      <c r="AA525" s="2"/>
    </row>
    <row r="526" customFormat="false" ht="15.75" hidden="false" customHeight="false" outlineLevel="0" collapsed="false">
      <c r="A526" s="2"/>
      <c r="B526" s="2" t="s">
        <v>93</v>
      </c>
      <c r="C526" s="2" t="s">
        <v>96</v>
      </c>
      <c r="D526" s="2" t="s">
        <v>96</v>
      </c>
      <c r="E526" s="2" t="s">
        <v>63</v>
      </c>
      <c r="F526" s="2" t="s">
        <v>89</v>
      </c>
      <c r="G526" s="2"/>
      <c r="H526" s="2"/>
      <c r="I526" s="2"/>
      <c r="J526" s="2"/>
      <c r="K526" s="2"/>
      <c r="L526" s="2"/>
      <c r="M526" s="2"/>
      <c r="N526" s="2"/>
      <c r="O526" s="2"/>
      <c r="P526" s="2"/>
      <c r="Q526" s="2"/>
      <c r="R526" s="2"/>
      <c r="S526" s="2"/>
      <c r="T526" s="2"/>
      <c r="U526" s="2"/>
      <c r="V526" s="2"/>
      <c r="W526" s="2"/>
      <c r="X526" s="2"/>
      <c r="Y526" s="2"/>
      <c r="Z526" s="2"/>
      <c r="AA526" s="2"/>
    </row>
    <row r="527" customFormat="false" ht="15.75" hidden="false" customHeight="false" outlineLevel="0" collapsed="false">
      <c r="A527" s="2"/>
      <c r="B527" s="2" t="s">
        <v>63</v>
      </c>
      <c r="C527" s="2" t="s">
        <v>75</v>
      </c>
      <c r="D527" s="2" t="s">
        <v>93</v>
      </c>
      <c r="E527" s="2" t="s">
        <v>66</v>
      </c>
      <c r="F527" s="2" t="s">
        <v>147</v>
      </c>
      <c r="G527" s="2"/>
      <c r="H527" s="2"/>
      <c r="I527" s="2"/>
      <c r="J527" s="2"/>
      <c r="K527" s="2"/>
      <c r="L527" s="2"/>
      <c r="M527" s="2"/>
      <c r="N527" s="2"/>
      <c r="O527" s="2"/>
      <c r="P527" s="2"/>
      <c r="Q527" s="2"/>
      <c r="R527" s="2"/>
      <c r="S527" s="2"/>
      <c r="T527" s="2"/>
      <c r="U527" s="2"/>
      <c r="V527" s="2"/>
      <c r="W527" s="2"/>
      <c r="X527" s="2"/>
      <c r="Y527" s="2"/>
      <c r="Z527" s="2"/>
      <c r="AA527" s="2"/>
    </row>
    <row r="528" customFormat="false" ht="15.75" hidden="false" customHeight="false" outlineLevel="0" collapsed="false">
      <c r="A528" s="2"/>
      <c r="B528" s="2" t="s">
        <v>72</v>
      </c>
      <c r="C528" s="2" t="s">
        <v>93</v>
      </c>
      <c r="D528" s="2" t="s">
        <v>63</v>
      </c>
      <c r="E528" s="2" t="s">
        <v>78</v>
      </c>
      <c r="F528" s="2" t="s">
        <v>96</v>
      </c>
      <c r="G528" s="2"/>
      <c r="H528" s="2"/>
      <c r="I528" s="2"/>
      <c r="J528" s="2"/>
      <c r="K528" s="2"/>
      <c r="L528" s="2"/>
      <c r="M528" s="2"/>
      <c r="N528" s="2"/>
      <c r="O528" s="2"/>
      <c r="P528" s="2"/>
      <c r="Q528" s="2"/>
      <c r="R528" s="2"/>
      <c r="S528" s="2"/>
      <c r="T528" s="2"/>
      <c r="U528" s="2"/>
      <c r="V528" s="2"/>
      <c r="W528" s="2"/>
      <c r="X528" s="2"/>
      <c r="Y528" s="2"/>
      <c r="Z528" s="2"/>
      <c r="AA528" s="2"/>
    </row>
    <row r="529" customFormat="false" ht="15.75" hidden="false" customHeight="false" outlineLevel="0" collapsed="false">
      <c r="A529" s="2"/>
      <c r="B529" s="2" t="s">
        <v>89</v>
      </c>
      <c r="C529" s="2" t="s">
        <v>81</v>
      </c>
      <c r="D529" s="2" t="s">
        <v>149</v>
      </c>
      <c r="E529" s="2" t="s">
        <v>83</v>
      </c>
      <c r="F529" s="2" t="s">
        <v>66</v>
      </c>
      <c r="G529" s="2"/>
      <c r="H529" s="2"/>
      <c r="I529" s="2"/>
      <c r="J529" s="2"/>
      <c r="K529" s="2"/>
      <c r="L529" s="2"/>
      <c r="M529" s="2"/>
      <c r="N529" s="2"/>
      <c r="O529" s="2"/>
      <c r="P529" s="2"/>
      <c r="Q529" s="2"/>
      <c r="R529" s="2"/>
      <c r="S529" s="2"/>
      <c r="T529" s="2"/>
      <c r="U529" s="2"/>
      <c r="V529" s="2"/>
      <c r="W529" s="2"/>
      <c r="X529" s="2"/>
      <c r="Y529" s="2"/>
      <c r="Z529" s="2"/>
      <c r="AA529" s="2"/>
    </row>
    <row r="530" customFormat="false" ht="15.75" hidden="false" customHeight="false" outlineLevel="0" collapsed="false">
      <c r="A530" s="2"/>
      <c r="B530" s="2" t="s">
        <v>83</v>
      </c>
      <c r="C530" s="2"/>
      <c r="D530" s="2" t="s">
        <v>78</v>
      </c>
      <c r="E530" s="2"/>
      <c r="F530" s="2" t="s">
        <v>93</v>
      </c>
      <c r="G530" s="2"/>
      <c r="H530" s="2"/>
      <c r="I530" s="2"/>
      <c r="J530" s="2"/>
      <c r="K530" s="2"/>
      <c r="L530" s="2"/>
      <c r="M530" s="2"/>
      <c r="N530" s="2"/>
      <c r="O530" s="2"/>
      <c r="P530" s="2"/>
      <c r="Q530" s="2"/>
      <c r="R530" s="2"/>
      <c r="S530" s="2"/>
      <c r="T530" s="2"/>
      <c r="U530" s="2"/>
      <c r="V530" s="2"/>
      <c r="W530" s="2"/>
      <c r="X530" s="2"/>
      <c r="Y530" s="2"/>
      <c r="Z530" s="2"/>
      <c r="AA530" s="2"/>
    </row>
    <row r="531" customFormat="false" ht="15.75" hidden="false" customHeight="false" outlineLevel="0" collapsed="false">
      <c r="A531" s="2"/>
      <c r="B531" s="2" t="s">
        <v>66</v>
      </c>
      <c r="C531" s="2"/>
      <c r="D531" s="2" t="s">
        <v>96</v>
      </c>
      <c r="E531" s="2"/>
      <c r="F531" s="2" t="s">
        <v>78</v>
      </c>
      <c r="G531" s="2"/>
      <c r="H531" s="2"/>
      <c r="I531" s="2"/>
      <c r="J531" s="2"/>
      <c r="K531" s="2"/>
      <c r="L531" s="2"/>
      <c r="M531" s="2"/>
      <c r="N531" s="2"/>
      <c r="O531" s="2"/>
      <c r="P531" s="2"/>
      <c r="Q531" s="2"/>
      <c r="R531" s="2"/>
      <c r="S531" s="2"/>
      <c r="T531" s="2"/>
      <c r="U531" s="2"/>
      <c r="V531" s="2"/>
      <c r="W531" s="2"/>
      <c r="X531" s="2"/>
      <c r="Y531" s="2"/>
      <c r="Z531" s="2"/>
      <c r="AA531" s="2"/>
    </row>
    <row r="532" customFormat="false" ht="15.75" hidden="false" customHeight="false" outlineLevel="0" collapsed="false">
      <c r="A532" s="2"/>
      <c r="B532" s="2"/>
      <c r="C532" s="2"/>
      <c r="D532" s="2" t="s">
        <v>81</v>
      </c>
      <c r="E532" s="2"/>
      <c r="F532" s="2"/>
      <c r="G532" s="2"/>
      <c r="H532" s="2"/>
      <c r="I532" s="2"/>
      <c r="J532" s="2"/>
      <c r="K532" s="2"/>
      <c r="L532" s="2"/>
      <c r="M532" s="2"/>
      <c r="N532" s="2"/>
      <c r="O532" s="2"/>
      <c r="P532" s="2"/>
      <c r="Q532" s="2"/>
      <c r="R532" s="2"/>
      <c r="S532" s="2"/>
      <c r="T532" s="2"/>
      <c r="U532" s="2"/>
      <c r="V532" s="2"/>
      <c r="W532" s="2"/>
      <c r="X532" s="2"/>
      <c r="Y532" s="2"/>
      <c r="Z532" s="2"/>
      <c r="AA532" s="2"/>
    </row>
    <row r="533" customFormat="false" ht="15.75" hidden="false" customHeight="false" outlineLevel="0" collapsed="false">
      <c r="A533" s="2"/>
      <c r="B533" s="2"/>
      <c r="C533" s="2"/>
      <c r="D533" s="2" t="s">
        <v>69</v>
      </c>
      <c r="E533" s="2"/>
      <c r="F533" s="2"/>
      <c r="G533" s="2"/>
      <c r="H533" s="2"/>
      <c r="I533" s="2"/>
      <c r="J533" s="2"/>
      <c r="K533" s="2"/>
      <c r="L533" s="2"/>
      <c r="M533" s="2"/>
      <c r="N533" s="2"/>
      <c r="O533" s="2"/>
      <c r="P533" s="2"/>
      <c r="Q533" s="2"/>
      <c r="R533" s="2"/>
      <c r="S533" s="2"/>
      <c r="T533" s="2"/>
      <c r="U533" s="2"/>
      <c r="V533" s="2"/>
      <c r="W533" s="2"/>
      <c r="X533" s="2"/>
      <c r="Y533" s="2"/>
      <c r="Z533" s="2"/>
      <c r="AA533" s="2"/>
    </row>
    <row r="534" customFormat="false" ht="15.75" hidden="false" customHeight="false" outlineLevel="0" collapsed="false">
      <c r="A534" s="2"/>
      <c r="B534" s="2"/>
      <c r="C534" s="2"/>
      <c r="D534" s="2" t="s">
        <v>63</v>
      </c>
      <c r="E534" s="2"/>
      <c r="F534" s="2"/>
      <c r="G534" s="2"/>
      <c r="H534" s="2"/>
      <c r="I534" s="2"/>
      <c r="J534" s="2"/>
      <c r="K534" s="2"/>
      <c r="L534" s="2"/>
      <c r="M534" s="2"/>
      <c r="N534" s="2"/>
      <c r="O534" s="2"/>
      <c r="P534" s="2"/>
      <c r="Q534" s="2"/>
      <c r="R534" s="2"/>
      <c r="S534" s="2"/>
      <c r="T534" s="2"/>
      <c r="U534" s="2"/>
      <c r="V534" s="2"/>
      <c r="W534" s="2"/>
      <c r="X534" s="2"/>
      <c r="Y534" s="2"/>
      <c r="Z534" s="2"/>
      <c r="AA534" s="2"/>
    </row>
    <row r="535" customFormat="false" ht="15.75" hidden="false" customHeight="false" outlineLevel="0" collapsed="false">
      <c r="A535" s="2"/>
      <c r="B535" s="2"/>
      <c r="C535" s="2"/>
      <c r="D535" s="2" t="s">
        <v>78</v>
      </c>
      <c r="E535" s="2"/>
      <c r="F535" s="2"/>
      <c r="G535" s="2"/>
      <c r="H535" s="2"/>
      <c r="I535" s="2"/>
      <c r="J535" s="2"/>
      <c r="K535" s="2"/>
      <c r="L535" s="2"/>
      <c r="M535" s="2"/>
      <c r="N535" s="2"/>
      <c r="O535" s="2"/>
      <c r="P535" s="2"/>
      <c r="Q535" s="2"/>
      <c r="R535" s="2"/>
      <c r="S535" s="2"/>
      <c r="T535" s="2"/>
      <c r="U535" s="2"/>
      <c r="V535" s="2"/>
      <c r="W535" s="2"/>
      <c r="X535" s="2"/>
      <c r="Y535" s="2"/>
      <c r="Z535" s="2"/>
      <c r="AA535" s="2"/>
    </row>
    <row r="536" customFormat="false" ht="15.75" hidden="false" customHeight="false" outlineLevel="0" collapsed="false">
      <c r="A536" s="2"/>
      <c r="B536" s="2"/>
      <c r="C536" s="2"/>
      <c r="D536" s="2" t="s">
        <v>96</v>
      </c>
      <c r="E536" s="2"/>
      <c r="F536" s="2"/>
      <c r="G536" s="2"/>
      <c r="H536" s="2"/>
      <c r="I536" s="2"/>
      <c r="J536" s="2"/>
      <c r="K536" s="2"/>
      <c r="L536" s="2"/>
      <c r="M536" s="2"/>
      <c r="N536" s="2"/>
      <c r="O536" s="2"/>
      <c r="P536" s="2"/>
      <c r="Q536" s="2"/>
      <c r="R536" s="2"/>
      <c r="S536" s="2"/>
      <c r="T536" s="2"/>
      <c r="U536" s="2"/>
      <c r="V536" s="2"/>
      <c r="W536" s="2"/>
      <c r="X536" s="2"/>
      <c r="Y536" s="2"/>
      <c r="Z536" s="2"/>
      <c r="AA536" s="2"/>
    </row>
    <row r="537" customFormat="false" ht="15.75" hidden="false" customHeight="false" outlineLevel="0" collapsed="false">
      <c r="A537" s="2"/>
      <c r="B537" s="2"/>
      <c r="C537" s="2"/>
      <c r="D537" s="2" t="s">
        <v>81</v>
      </c>
      <c r="E537" s="2"/>
      <c r="F537" s="2"/>
      <c r="G537" s="2"/>
      <c r="H537" s="2"/>
      <c r="I537" s="2"/>
      <c r="J537" s="2"/>
      <c r="K537" s="2"/>
      <c r="L537" s="2"/>
      <c r="M537" s="2"/>
      <c r="N537" s="2"/>
      <c r="O537" s="2"/>
      <c r="P537" s="2"/>
      <c r="Q537" s="2"/>
      <c r="R537" s="2"/>
      <c r="S537" s="2"/>
      <c r="T537" s="2"/>
      <c r="U537" s="2"/>
      <c r="V537" s="2"/>
      <c r="W537" s="2"/>
      <c r="X537" s="2"/>
      <c r="Y537" s="2"/>
      <c r="Z537" s="2"/>
      <c r="AA537" s="2"/>
    </row>
    <row r="538" customFormat="false" ht="15.75" hidden="false" customHeight="false" outlineLevel="0" collapsed="false">
      <c r="A538" s="2"/>
      <c r="B538" s="2"/>
      <c r="C538" s="2"/>
      <c r="D538" s="2" t="s">
        <v>72</v>
      </c>
      <c r="E538" s="2"/>
      <c r="F538" s="2"/>
      <c r="G538" s="2"/>
      <c r="H538" s="2"/>
      <c r="I538" s="2"/>
      <c r="J538" s="2"/>
      <c r="K538" s="2"/>
      <c r="L538" s="2"/>
      <c r="M538" s="2"/>
      <c r="N538" s="2"/>
      <c r="O538" s="2"/>
      <c r="P538" s="2"/>
      <c r="Q538" s="2"/>
      <c r="R538" s="2"/>
      <c r="S538" s="2"/>
      <c r="T538" s="2"/>
      <c r="U538" s="2"/>
      <c r="V538" s="2"/>
      <c r="W538" s="2"/>
      <c r="X538" s="2"/>
      <c r="Y538" s="2"/>
      <c r="Z538" s="2"/>
      <c r="AA538" s="2"/>
    </row>
    <row r="539" customFormat="false" ht="15.75" hidden="false" customHeight="false" outlineLevel="0" collapsed="false">
      <c r="A539" s="2"/>
      <c r="B539" s="2"/>
      <c r="C539" s="2"/>
      <c r="D539" s="2" t="s">
        <v>63</v>
      </c>
      <c r="E539" s="2"/>
      <c r="F539" s="2"/>
      <c r="G539" s="2"/>
      <c r="H539" s="2"/>
      <c r="I539" s="2"/>
      <c r="J539" s="2"/>
      <c r="K539" s="2"/>
      <c r="L539" s="2"/>
      <c r="M539" s="2"/>
      <c r="N539" s="2"/>
      <c r="O539" s="2"/>
      <c r="P539" s="2"/>
      <c r="Q539" s="2"/>
      <c r="R539" s="2"/>
      <c r="S539" s="2"/>
      <c r="T539" s="2"/>
      <c r="U539" s="2"/>
      <c r="V539" s="2"/>
      <c r="W539" s="2"/>
      <c r="X539" s="2"/>
      <c r="Y539" s="2"/>
      <c r="Z539" s="2"/>
      <c r="AA539" s="2"/>
    </row>
    <row r="540" customFormat="false" ht="15.75" hidden="false" customHeight="false" outlineLevel="0" collapsed="false">
      <c r="A540" s="2"/>
      <c r="B540" s="2"/>
      <c r="C540" s="2"/>
      <c r="D540" s="2" t="s">
        <v>72</v>
      </c>
      <c r="E540" s="2"/>
      <c r="F540" s="2"/>
      <c r="G540" s="2"/>
      <c r="H540" s="2"/>
      <c r="I540" s="2"/>
      <c r="J540" s="2"/>
      <c r="K540" s="2"/>
      <c r="L540" s="2"/>
      <c r="M540" s="2"/>
      <c r="N540" s="2"/>
      <c r="O540" s="2"/>
      <c r="P540" s="2"/>
      <c r="Q540" s="2"/>
      <c r="R540" s="2"/>
      <c r="S540" s="2"/>
      <c r="T540" s="2"/>
      <c r="U540" s="2"/>
      <c r="V540" s="2"/>
      <c r="W540" s="2"/>
      <c r="X540" s="2"/>
      <c r="Y540" s="2"/>
      <c r="Z540" s="2"/>
      <c r="AA540" s="2"/>
    </row>
    <row r="541" customFormat="false" ht="15.75" hidden="false" customHeight="false" outlineLevel="0" collapsed="false">
      <c r="A541" s="2"/>
      <c r="B541" s="2"/>
      <c r="C541" s="2"/>
      <c r="D541" s="2" t="s">
        <v>89</v>
      </c>
      <c r="E541" s="2"/>
      <c r="F541" s="2"/>
      <c r="G541" s="2"/>
      <c r="H541" s="2"/>
      <c r="I541" s="2"/>
      <c r="J541" s="2"/>
      <c r="K541" s="2"/>
      <c r="L541" s="2"/>
      <c r="M541" s="2"/>
      <c r="N541" s="2"/>
      <c r="O541" s="2"/>
      <c r="P541" s="2"/>
      <c r="Q541" s="2"/>
      <c r="R541" s="2"/>
      <c r="S541" s="2"/>
      <c r="T541" s="2"/>
      <c r="U541" s="2"/>
      <c r="V541" s="2"/>
      <c r="W541" s="2"/>
      <c r="X541" s="2"/>
      <c r="Y541" s="2"/>
      <c r="Z541" s="2"/>
      <c r="AA541" s="2"/>
    </row>
    <row r="542" customFormat="false" ht="15.75" hidden="false" customHeight="false" outlineLevel="0" collapsed="false">
      <c r="A542" s="2"/>
      <c r="B542" s="2"/>
      <c r="C542" s="2"/>
      <c r="D542" s="2" t="s">
        <v>83</v>
      </c>
      <c r="E542" s="2"/>
      <c r="F542" s="2"/>
      <c r="G542" s="2"/>
      <c r="H542" s="2"/>
      <c r="I542" s="2"/>
      <c r="J542" s="2"/>
      <c r="K542" s="2"/>
      <c r="L542" s="2"/>
      <c r="M542" s="2"/>
      <c r="N542" s="2"/>
      <c r="O542" s="2"/>
      <c r="P542" s="2"/>
      <c r="Q542" s="2"/>
      <c r="R542" s="2"/>
      <c r="S542" s="2"/>
      <c r="T542" s="2"/>
      <c r="U542" s="2"/>
      <c r="V542" s="2"/>
      <c r="W542" s="2"/>
      <c r="X542" s="2"/>
      <c r="Y542" s="2"/>
      <c r="Z542" s="2"/>
      <c r="AA542" s="2"/>
    </row>
    <row r="543" customFormat="false" ht="15.75" hidden="false" customHeight="false" outlineLevel="0" collapsed="false">
      <c r="A543" s="2"/>
      <c r="B543" s="2"/>
      <c r="C543" s="2"/>
      <c r="D543" s="2" t="s">
        <v>63</v>
      </c>
      <c r="E543" s="2"/>
      <c r="F543" s="2"/>
      <c r="G543" s="2"/>
      <c r="H543" s="2"/>
      <c r="I543" s="2"/>
      <c r="J543" s="2"/>
      <c r="K543" s="2"/>
      <c r="L543" s="2"/>
      <c r="M543" s="2"/>
      <c r="N543" s="2"/>
      <c r="O543" s="2"/>
      <c r="P543" s="2"/>
      <c r="Q543" s="2"/>
      <c r="R543" s="2"/>
      <c r="S543" s="2"/>
      <c r="T543" s="2"/>
      <c r="U543" s="2"/>
      <c r="V543" s="2"/>
      <c r="W543" s="2"/>
      <c r="X543" s="2"/>
      <c r="Y543" s="2"/>
      <c r="Z543" s="2"/>
      <c r="AA543" s="2"/>
    </row>
    <row r="544" customFormat="false" ht="15.75" hidden="false" customHeight="false" outlineLevel="0" collapsed="false">
      <c r="A544" s="2"/>
      <c r="B544" s="2"/>
      <c r="C544" s="2"/>
      <c r="D544" s="2" t="s">
        <v>81</v>
      </c>
      <c r="E544" s="2"/>
      <c r="F544" s="2"/>
      <c r="G544" s="2"/>
      <c r="H544" s="2"/>
      <c r="I544" s="2"/>
      <c r="J544" s="2"/>
      <c r="K544" s="2"/>
      <c r="L544" s="2"/>
      <c r="M544" s="2"/>
      <c r="N544" s="2"/>
      <c r="O544" s="2"/>
      <c r="P544" s="2"/>
      <c r="Q544" s="2"/>
      <c r="R544" s="2"/>
      <c r="S544" s="2"/>
      <c r="T544" s="2"/>
      <c r="U544" s="2"/>
      <c r="V544" s="2"/>
      <c r="W544" s="2"/>
      <c r="X544" s="2"/>
      <c r="Y544" s="2"/>
      <c r="Z544" s="2"/>
      <c r="AA544" s="2"/>
    </row>
    <row r="545" customFormat="false" ht="15.75" hidden="false" customHeight="false" outlineLevel="0" collapsed="false">
      <c r="A545" s="2"/>
      <c r="B545" s="2"/>
      <c r="C545" s="2"/>
      <c r="D545" s="2" t="s">
        <v>96</v>
      </c>
      <c r="E545" s="2"/>
      <c r="F545" s="2"/>
      <c r="G545" s="2"/>
      <c r="H545" s="2"/>
      <c r="I545" s="2"/>
      <c r="J545" s="2"/>
      <c r="K545" s="2"/>
      <c r="L545" s="2"/>
      <c r="M545" s="2"/>
      <c r="N545" s="2"/>
      <c r="O545" s="2"/>
      <c r="P545" s="2"/>
      <c r="Q545" s="2"/>
      <c r="R545" s="2"/>
      <c r="S545" s="2"/>
      <c r="T545" s="2"/>
      <c r="U545" s="2"/>
      <c r="V545" s="2"/>
      <c r="W545" s="2"/>
      <c r="X545" s="2"/>
      <c r="Y545" s="2"/>
      <c r="Z545" s="2"/>
      <c r="AA545" s="2"/>
    </row>
    <row r="546" customFormat="false" ht="15.75" hidden="false" customHeight="false" outlineLevel="0" collapsed="false">
      <c r="A546" s="2"/>
      <c r="B546" s="2"/>
      <c r="C546" s="2"/>
      <c r="D546" s="2" t="s">
        <v>75</v>
      </c>
      <c r="E546" s="2"/>
      <c r="F546" s="2"/>
      <c r="G546" s="2"/>
      <c r="H546" s="2"/>
      <c r="I546" s="2"/>
      <c r="J546" s="2"/>
      <c r="K546" s="2"/>
      <c r="L546" s="2"/>
      <c r="M546" s="2"/>
      <c r="N546" s="2"/>
      <c r="O546" s="2"/>
      <c r="P546" s="2"/>
      <c r="Q546" s="2"/>
      <c r="R546" s="2"/>
      <c r="S546" s="2"/>
      <c r="T546" s="2"/>
      <c r="U546" s="2"/>
      <c r="V546" s="2"/>
      <c r="W546" s="2"/>
      <c r="X546" s="2"/>
      <c r="Y546" s="2"/>
      <c r="Z546" s="2"/>
      <c r="AA546" s="2"/>
    </row>
    <row r="547" customFormat="false" ht="15.75" hidden="false" customHeight="false" outlineLevel="0" collapsed="false">
      <c r="A547" s="2"/>
      <c r="B547" s="2"/>
      <c r="C547" s="2"/>
      <c r="D547" s="2" t="s">
        <v>149</v>
      </c>
      <c r="E547" s="2"/>
      <c r="F547" s="2"/>
      <c r="G547" s="2"/>
      <c r="H547" s="2"/>
      <c r="I547" s="2"/>
      <c r="J547" s="2"/>
      <c r="K547" s="2"/>
      <c r="L547" s="2"/>
      <c r="M547" s="2"/>
      <c r="N547" s="2"/>
      <c r="O547" s="2"/>
      <c r="P547" s="2"/>
      <c r="Q547" s="2"/>
      <c r="R547" s="2"/>
      <c r="S547" s="2"/>
      <c r="T547" s="2"/>
      <c r="U547" s="2"/>
      <c r="V547" s="2"/>
      <c r="W547" s="2"/>
      <c r="X547" s="2"/>
      <c r="Y547" s="2"/>
      <c r="Z547" s="2"/>
      <c r="AA547" s="2"/>
    </row>
    <row r="548" customFormat="false" ht="15.75" hidden="false" customHeight="false" outlineLevel="0" collapsed="false">
      <c r="A548" s="2"/>
      <c r="B548" s="2"/>
      <c r="C548" s="2"/>
      <c r="D548" s="2" t="s">
        <v>66</v>
      </c>
      <c r="E548" s="2"/>
      <c r="F548" s="2"/>
      <c r="G548" s="2"/>
      <c r="H548" s="2"/>
      <c r="I548" s="2"/>
      <c r="J548" s="2"/>
      <c r="K548" s="2"/>
      <c r="L548" s="2"/>
      <c r="M548" s="2"/>
      <c r="N548" s="2"/>
      <c r="O548" s="2"/>
      <c r="P548" s="2"/>
      <c r="Q548" s="2"/>
      <c r="R548" s="2"/>
      <c r="S548" s="2"/>
      <c r="T548" s="2"/>
      <c r="U548" s="2"/>
      <c r="V548" s="2"/>
      <c r="W548" s="2"/>
      <c r="X548" s="2"/>
      <c r="Y548" s="2"/>
      <c r="Z548" s="2"/>
      <c r="AA548" s="2"/>
    </row>
    <row r="549" customFormat="false" ht="15.75" hidden="false" customHeight="false" outlineLevel="0" collapsed="false">
      <c r="A549" s="2"/>
      <c r="B549" s="2"/>
      <c r="C549" s="2"/>
      <c r="D549" s="2" t="s">
        <v>63</v>
      </c>
      <c r="E549" s="2"/>
      <c r="F549" s="2"/>
      <c r="G549" s="2"/>
      <c r="H549" s="2"/>
      <c r="I549" s="2"/>
      <c r="J549" s="2"/>
      <c r="K549" s="2"/>
      <c r="L549" s="2"/>
      <c r="M549" s="2"/>
      <c r="N549" s="2"/>
      <c r="O549" s="2"/>
      <c r="P549" s="2"/>
      <c r="Q549" s="2"/>
      <c r="R549" s="2"/>
      <c r="S549" s="2"/>
      <c r="T549" s="2"/>
      <c r="U549" s="2"/>
      <c r="V549" s="2"/>
      <c r="W549" s="2"/>
      <c r="X549" s="2"/>
      <c r="Y549" s="2"/>
      <c r="Z549" s="2"/>
      <c r="AA549" s="2"/>
    </row>
    <row r="550" customFormat="false" ht="15.75" hidden="false" customHeight="false" outlineLevel="0" collapsed="false">
      <c r="A550" s="2"/>
      <c r="B550" s="2"/>
      <c r="C550" s="2"/>
      <c r="D550" s="2" t="s">
        <v>75</v>
      </c>
      <c r="E550" s="2"/>
      <c r="F550" s="2"/>
      <c r="G550" s="2"/>
      <c r="H550" s="2"/>
      <c r="I550" s="2"/>
      <c r="J550" s="2"/>
      <c r="K550" s="2"/>
      <c r="L550" s="2"/>
      <c r="M550" s="2"/>
      <c r="N550" s="2"/>
      <c r="O550" s="2"/>
      <c r="P550" s="2"/>
      <c r="Q550" s="2"/>
      <c r="R550" s="2"/>
      <c r="S550" s="2"/>
      <c r="T550" s="2"/>
      <c r="U550" s="2"/>
      <c r="V550" s="2"/>
      <c r="W550" s="2"/>
      <c r="X550" s="2"/>
      <c r="Y550" s="2"/>
      <c r="Z550" s="2"/>
      <c r="AA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6"/>
    <col collapsed="false" customWidth="true" hidden="false" outlineLevel="0" max="3" min="3" style="0" width="14"/>
    <col collapsed="false" customWidth="true" hidden="false" outlineLevel="0" max="26" min="4" style="0" width="12"/>
  </cols>
  <sheetData>
    <row r="1" customFormat="false" ht="16.15" hidden="false" customHeight="false" outlineLevel="0" collapsed="false">
      <c r="A1" s="55" t="s">
        <v>150</v>
      </c>
    </row>
    <row r="2" customFormat="false" ht="15" hidden="false" customHeight="false" outlineLevel="0" collapsed="false">
      <c r="A2" s="0" t="s">
        <v>151</v>
      </c>
    </row>
    <row r="3" customFormat="false" ht="15" hidden="false" customHeight="false" outlineLevel="0" collapsed="false">
      <c r="A3" s="56" t="s">
        <v>152</v>
      </c>
    </row>
    <row r="4" customFormat="false" ht="15" hidden="false" customHeight="false" outlineLevel="0" collapsed="false">
      <c r="A4" s="56" t="s">
        <v>54</v>
      </c>
      <c r="B4" s="56" t="s">
        <v>153</v>
      </c>
      <c r="C4" s="56" t="s">
        <v>154</v>
      </c>
      <c r="D4" s="56" t="s">
        <v>155</v>
      </c>
      <c r="E4" s="56" t="s">
        <v>156</v>
      </c>
      <c r="F4" s="56" t="s">
        <v>157</v>
      </c>
      <c r="G4" s="56" t="s">
        <v>158</v>
      </c>
      <c r="H4" s="56" t="s">
        <v>159</v>
      </c>
      <c r="I4" s="56" t="s">
        <v>160</v>
      </c>
      <c r="J4" s="56" t="s">
        <v>161</v>
      </c>
      <c r="K4" s="56" t="s">
        <v>162</v>
      </c>
      <c r="L4" s="56" t="s">
        <v>163</v>
      </c>
      <c r="M4" s="56" t="s">
        <v>164</v>
      </c>
      <c r="N4" s="56" t="s">
        <v>165</v>
      </c>
      <c r="O4" s="56" t="s">
        <v>166</v>
      </c>
      <c r="P4" s="56" t="s">
        <v>167</v>
      </c>
      <c r="Q4" s="56" t="s">
        <v>168</v>
      </c>
      <c r="R4" s="56" t="s">
        <v>169</v>
      </c>
      <c r="S4" s="56" t="s">
        <v>170</v>
      </c>
      <c r="T4" s="56" t="s">
        <v>171</v>
      </c>
      <c r="U4" s="56" t="s">
        <v>172</v>
      </c>
    </row>
    <row r="5" customFormat="false" ht="15" hidden="false" customHeight="false" outlineLevel="0" collapsed="false">
      <c r="A5" s="0" t="s">
        <v>63</v>
      </c>
      <c r="B5" s="0" t="n">
        <f aca="false">COUNTIF('PAR Reelsets'!B$2:B$1000,$A5)</f>
        <v>31</v>
      </c>
      <c r="C5" s="0" t="n">
        <f aca="false">COUNTIF('PAR Reelsets'!C$2:C$1000,$A5)</f>
        <v>31</v>
      </c>
      <c r="D5" s="0" t="n">
        <f aca="false">COUNTIF('PAR Reelsets'!D$2:D$1000,$A5)</f>
        <v>31</v>
      </c>
      <c r="E5" s="0" t="n">
        <f aca="false">COUNTIF('PAR Reelsets'!E$2:E$1000,$A5)</f>
        <v>31</v>
      </c>
      <c r="F5" s="0" t="n">
        <f aca="false">COUNTIF('PAR Reelsets'!F$2:F$1000,$A5)</f>
        <v>31</v>
      </c>
      <c r="G5" s="0" t="n">
        <f aca="false">COUNTIF('PAR Reelsets'!I$2:I$1000,$A5)</f>
        <v>29</v>
      </c>
      <c r="H5" s="0" t="n">
        <f aca="false">COUNTIF('PAR Reelsets'!J$2:J$1000,$A5)</f>
        <v>29</v>
      </c>
      <c r="I5" s="0" t="n">
        <f aca="false">COUNTIF('PAR Reelsets'!K$2:K$1000,$A5)</f>
        <v>29</v>
      </c>
      <c r="J5" s="0" t="n">
        <f aca="false">COUNTIF('PAR Reelsets'!L$2:L$1000,$A5)</f>
        <v>29</v>
      </c>
      <c r="K5" s="0" t="n">
        <f aca="false">COUNTIF('PAR Reelsets'!M$2:M$1000,$A5)</f>
        <v>29</v>
      </c>
      <c r="L5" s="0" t="n">
        <f aca="false">COUNTIF('PAR Reelsets'!P$2:P$1000,$A5)</f>
        <v>25</v>
      </c>
      <c r="M5" s="0" t="n">
        <f aca="false">COUNTIF('PAR Reelsets'!Q$2:Q$1000,$A5)</f>
        <v>0</v>
      </c>
      <c r="N5" s="0" t="n">
        <f aca="false">COUNTIF('PAR Reelsets'!R$2:R$1000,$A5)</f>
        <v>25</v>
      </c>
      <c r="O5" s="0" t="n">
        <f aca="false">COUNTIF('PAR Reelsets'!S$2:S$1000,$A5)</f>
        <v>0</v>
      </c>
      <c r="P5" s="0" t="n">
        <f aca="false">COUNTIF('PAR Reelsets'!T$2:T$1000,$A5)</f>
        <v>25</v>
      </c>
      <c r="Q5" s="0" t="n">
        <f aca="false">COUNTIF('PAR Reelsets'!W$2:W$1000,$A5)</f>
        <v>6</v>
      </c>
      <c r="R5" s="0" t="n">
        <f aca="false">COUNTIF('PAR Reelsets'!X$2:X$1000,$A5)</f>
        <v>6</v>
      </c>
      <c r="S5" s="0" t="n">
        <f aca="false">COUNTIF('PAR Reelsets'!Y$2:Y$1000,$A5)</f>
        <v>6</v>
      </c>
      <c r="T5" s="0" t="n">
        <f aca="false">COUNTIF('PAR Reelsets'!Z$2:Z$1000,$A5)</f>
        <v>6</v>
      </c>
      <c r="U5" s="0" t="n">
        <f aca="false">COUNTIF('PAR Reelsets'!AA$2:AA$1000,$A5)</f>
        <v>6</v>
      </c>
    </row>
    <row r="6" customFormat="false" ht="15" hidden="false" customHeight="false" outlineLevel="0" collapsed="false">
      <c r="A6" s="0" t="s">
        <v>66</v>
      </c>
      <c r="B6" s="0" t="n">
        <f aca="false">COUNTIF('PAR Reelsets'!B$2:B$1000,$A6)</f>
        <v>36</v>
      </c>
      <c r="C6" s="0" t="n">
        <f aca="false">COUNTIF('PAR Reelsets'!C$2:C$1000,$A6)</f>
        <v>36</v>
      </c>
      <c r="D6" s="0" t="n">
        <f aca="false">COUNTIF('PAR Reelsets'!D$2:D$1000,$A6)</f>
        <v>36</v>
      </c>
      <c r="E6" s="0" t="n">
        <f aca="false">COUNTIF('PAR Reelsets'!E$2:E$1000,$A6)</f>
        <v>36</v>
      </c>
      <c r="F6" s="0" t="n">
        <f aca="false">COUNTIF('PAR Reelsets'!F$2:F$1000,$A6)</f>
        <v>36</v>
      </c>
      <c r="G6" s="0" t="n">
        <f aca="false">COUNTIF('PAR Reelsets'!I$2:I$1000,$A6)</f>
        <v>32</v>
      </c>
      <c r="H6" s="0" t="n">
        <f aca="false">COUNTIF('PAR Reelsets'!J$2:J$1000,$A6)</f>
        <v>32</v>
      </c>
      <c r="I6" s="0" t="n">
        <f aca="false">COUNTIF('PAR Reelsets'!K$2:K$1000,$A6)</f>
        <v>32</v>
      </c>
      <c r="J6" s="0" t="n">
        <f aca="false">COUNTIF('PAR Reelsets'!L$2:L$1000,$A6)</f>
        <v>32</v>
      </c>
      <c r="K6" s="0" t="n">
        <f aca="false">COUNTIF('PAR Reelsets'!M$2:M$1000,$A6)</f>
        <v>32</v>
      </c>
      <c r="L6" s="0" t="n">
        <f aca="false">COUNTIF('PAR Reelsets'!P$2:P$1000,$A6)</f>
        <v>0</v>
      </c>
      <c r="M6" s="0" t="n">
        <f aca="false">COUNTIF('PAR Reelsets'!Q$2:Q$1000,$A6)</f>
        <v>28</v>
      </c>
      <c r="N6" s="0" t="n">
        <f aca="false">COUNTIF('PAR Reelsets'!R$2:R$1000,$A6)</f>
        <v>0</v>
      </c>
      <c r="O6" s="0" t="n">
        <f aca="false">COUNTIF('PAR Reelsets'!S$2:S$1000,$A6)</f>
        <v>28</v>
      </c>
      <c r="P6" s="0" t="n">
        <f aca="false">COUNTIF('PAR Reelsets'!T$2:T$1000,$A6)</f>
        <v>0</v>
      </c>
      <c r="Q6" s="0" t="n">
        <f aca="false">COUNTIF('PAR Reelsets'!W$2:W$1000,$A6)</f>
        <v>6</v>
      </c>
      <c r="R6" s="0" t="n">
        <f aca="false">COUNTIF('PAR Reelsets'!X$2:X$1000,$A6)</f>
        <v>6</v>
      </c>
      <c r="S6" s="0" t="n">
        <f aca="false">COUNTIF('PAR Reelsets'!Y$2:Y$1000,$A6)</f>
        <v>6</v>
      </c>
      <c r="T6" s="0" t="n">
        <f aca="false">COUNTIF('PAR Reelsets'!Z$2:Z$1000,$A6)</f>
        <v>6</v>
      </c>
      <c r="U6" s="0" t="n">
        <f aca="false">COUNTIF('PAR Reelsets'!AA$2:AA$1000,$A6)</f>
        <v>6</v>
      </c>
    </row>
    <row r="7" customFormat="false" ht="15" hidden="false" customHeight="false" outlineLevel="0" collapsed="false">
      <c r="A7" s="0" t="s">
        <v>69</v>
      </c>
      <c r="B7" s="0" t="n">
        <f aca="false">COUNTIF('PAR Reelsets'!B$2:B$1000,$A7)</f>
        <v>38</v>
      </c>
      <c r="C7" s="0" t="n">
        <f aca="false">COUNTIF('PAR Reelsets'!C$2:C$1000,$A7)</f>
        <v>38</v>
      </c>
      <c r="D7" s="0" t="n">
        <f aca="false">COUNTIF('PAR Reelsets'!D$2:D$1000,$A7)</f>
        <v>38</v>
      </c>
      <c r="E7" s="0" t="n">
        <f aca="false">COUNTIF('PAR Reelsets'!E$2:E$1000,$A7)</f>
        <v>38</v>
      </c>
      <c r="F7" s="0" t="n">
        <f aca="false">COUNTIF('PAR Reelsets'!F$2:F$1000,$A7)</f>
        <v>38</v>
      </c>
      <c r="G7" s="0" t="n">
        <f aca="false">COUNTIF('PAR Reelsets'!I$2:I$1000,$A7)</f>
        <v>34</v>
      </c>
      <c r="H7" s="0" t="n">
        <f aca="false">COUNTIF('PAR Reelsets'!J$2:J$1000,$A7)</f>
        <v>34</v>
      </c>
      <c r="I7" s="0" t="n">
        <f aca="false">COUNTIF('PAR Reelsets'!K$2:K$1000,$A7)</f>
        <v>34</v>
      </c>
      <c r="J7" s="0" t="n">
        <f aca="false">COUNTIF('PAR Reelsets'!L$2:L$1000,$A7)</f>
        <v>34</v>
      </c>
      <c r="K7" s="0" t="n">
        <f aca="false">COUNTIF('PAR Reelsets'!M$2:M$1000,$A7)</f>
        <v>34</v>
      </c>
      <c r="L7" s="0" t="n">
        <f aca="false">COUNTIF('PAR Reelsets'!P$2:P$1000,$A7)</f>
        <v>25</v>
      </c>
      <c r="M7" s="0" t="n">
        <f aca="false">COUNTIF('PAR Reelsets'!Q$2:Q$1000,$A7)</f>
        <v>0</v>
      </c>
      <c r="N7" s="0" t="n">
        <f aca="false">COUNTIF('PAR Reelsets'!R$2:R$1000,$A7)</f>
        <v>25</v>
      </c>
      <c r="O7" s="0" t="n">
        <f aca="false">COUNTIF('PAR Reelsets'!S$2:S$1000,$A7)</f>
        <v>0</v>
      </c>
      <c r="P7" s="0" t="n">
        <f aca="false">COUNTIF('PAR Reelsets'!T$2:T$1000,$A7)</f>
        <v>25</v>
      </c>
      <c r="Q7" s="0" t="n">
        <f aca="false">COUNTIF('PAR Reelsets'!W$2:W$1000,$A7)</f>
        <v>6</v>
      </c>
      <c r="R7" s="0" t="n">
        <f aca="false">COUNTIF('PAR Reelsets'!X$2:X$1000,$A7)</f>
        <v>6</v>
      </c>
      <c r="S7" s="0" t="n">
        <f aca="false">COUNTIF('PAR Reelsets'!Y$2:Y$1000,$A7)</f>
        <v>6</v>
      </c>
      <c r="T7" s="0" t="n">
        <f aca="false">COUNTIF('PAR Reelsets'!Z$2:Z$1000,$A7)</f>
        <v>6</v>
      </c>
      <c r="U7" s="0" t="n">
        <f aca="false">COUNTIF('PAR Reelsets'!AA$2:AA$1000,$A7)</f>
        <v>6</v>
      </c>
    </row>
    <row r="8" customFormat="false" ht="15" hidden="false" customHeight="false" outlineLevel="0" collapsed="false">
      <c r="A8" s="0" t="s">
        <v>72</v>
      </c>
      <c r="B8" s="0" t="n">
        <f aca="false">COUNTIF('PAR Reelsets'!B$2:B$1000,$A8)</f>
        <v>42</v>
      </c>
      <c r="C8" s="0" t="n">
        <f aca="false">COUNTIF('PAR Reelsets'!C$2:C$1000,$A8)</f>
        <v>42</v>
      </c>
      <c r="D8" s="0" t="n">
        <f aca="false">COUNTIF('PAR Reelsets'!D$2:D$1000,$A8)</f>
        <v>42</v>
      </c>
      <c r="E8" s="0" t="n">
        <f aca="false">COUNTIF('PAR Reelsets'!E$2:E$1000,$A8)</f>
        <v>42</v>
      </c>
      <c r="F8" s="0" t="n">
        <f aca="false">COUNTIF('PAR Reelsets'!F$2:F$1000,$A8)</f>
        <v>42</v>
      </c>
      <c r="G8" s="0" t="n">
        <f aca="false">COUNTIF('PAR Reelsets'!I$2:I$1000,$A8)</f>
        <v>36</v>
      </c>
      <c r="H8" s="0" t="n">
        <f aca="false">COUNTIF('PAR Reelsets'!J$2:J$1000,$A8)</f>
        <v>36</v>
      </c>
      <c r="I8" s="0" t="n">
        <f aca="false">COUNTIF('PAR Reelsets'!K$2:K$1000,$A8)</f>
        <v>36</v>
      </c>
      <c r="J8" s="0" t="n">
        <f aca="false">COUNTIF('PAR Reelsets'!L$2:L$1000,$A8)</f>
        <v>36</v>
      </c>
      <c r="K8" s="0" t="n">
        <f aca="false">COUNTIF('PAR Reelsets'!M$2:M$1000,$A8)</f>
        <v>36</v>
      </c>
      <c r="L8" s="0" t="n">
        <f aca="false">COUNTIF('PAR Reelsets'!P$2:P$1000,$A8)</f>
        <v>0</v>
      </c>
      <c r="M8" s="0" t="n">
        <f aca="false">COUNTIF('PAR Reelsets'!Q$2:Q$1000,$A8)</f>
        <v>32</v>
      </c>
      <c r="N8" s="0" t="n">
        <f aca="false">COUNTIF('PAR Reelsets'!R$2:R$1000,$A8)</f>
        <v>0</v>
      </c>
      <c r="O8" s="0" t="n">
        <f aca="false">COUNTIF('PAR Reelsets'!S$2:S$1000,$A8)</f>
        <v>32</v>
      </c>
      <c r="P8" s="0" t="n">
        <f aca="false">COUNTIF('PAR Reelsets'!T$2:T$1000,$A8)</f>
        <v>0</v>
      </c>
      <c r="Q8" s="0" t="n">
        <f aca="false">COUNTIF('PAR Reelsets'!W$2:W$1000,$A8)</f>
        <v>6</v>
      </c>
      <c r="R8" s="0" t="n">
        <f aca="false">COUNTIF('PAR Reelsets'!X$2:X$1000,$A8)</f>
        <v>6</v>
      </c>
      <c r="S8" s="0" t="n">
        <f aca="false">COUNTIF('PAR Reelsets'!Y$2:Y$1000,$A8)</f>
        <v>6</v>
      </c>
      <c r="T8" s="0" t="n">
        <f aca="false">COUNTIF('PAR Reelsets'!Z$2:Z$1000,$A8)</f>
        <v>6</v>
      </c>
      <c r="U8" s="0" t="n">
        <f aca="false">COUNTIF('PAR Reelsets'!AA$2:AA$1000,$A8)</f>
        <v>6</v>
      </c>
    </row>
    <row r="9" customFormat="false" ht="15" hidden="false" customHeight="false" outlineLevel="0" collapsed="false">
      <c r="A9" s="0" t="s">
        <v>75</v>
      </c>
      <c r="B9" s="0" t="n">
        <f aca="false">COUNTIF('PAR Reelsets'!B$2:B$1000,$A9)</f>
        <v>44</v>
      </c>
      <c r="C9" s="0" t="n">
        <f aca="false">COUNTIF('PAR Reelsets'!C$2:C$1000,$A9)</f>
        <v>44</v>
      </c>
      <c r="D9" s="0" t="n">
        <f aca="false">COUNTIF('PAR Reelsets'!D$2:D$1000,$A9)</f>
        <v>44</v>
      </c>
      <c r="E9" s="0" t="n">
        <f aca="false">COUNTIF('PAR Reelsets'!E$2:E$1000,$A9)</f>
        <v>44</v>
      </c>
      <c r="F9" s="0" t="n">
        <f aca="false">COUNTIF('PAR Reelsets'!F$2:F$1000,$A9)</f>
        <v>44</v>
      </c>
      <c r="G9" s="0" t="n">
        <f aca="false">COUNTIF('PAR Reelsets'!I$2:I$1000,$A9)</f>
        <v>38</v>
      </c>
      <c r="H9" s="0" t="n">
        <f aca="false">COUNTIF('PAR Reelsets'!J$2:J$1000,$A9)</f>
        <v>38</v>
      </c>
      <c r="I9" s="0" t="n">
        <f aca="false">COUNTIF('PAR Reelsets'!K$2:K$1000,$A9)</f>
        <v>38</v>
      </c>
      <c r="J9" s="0" t="n">
        <f aca="false">COUNTIF('PAR Reelsets'!L$2:L$1000,$A9)</f>
        <v>38</v>
      </c>
      <c r="K9" s="0" t="n">
        <f aca="false">COUNTIF('PAR Reelsets'!M$2:M$1000,$A9)</f>
        <v>38</v>
      </c>
      <c r="L9" s="0" t="n">
        <f aca="false">COUNTIF('PAR Reelsets'!P$2:P$1000,$A9)</f>
        <v>25</v>
      </c>
      <c r="M9" s="0" t="n">
        <f aca="false">COUNTIF('PAR Reelsets'!Q$2:Q$1000,$A9)</f>
        <v>0</v>
      </c>
      <c r="N9" s="0" t="n">
        <f aca="false">COUNTIF('PAR Reelsets'!R$2:R$1000,$A9)</f>
        <v>25</v>
      </c>
      <c r="O9" s="0" t="n">
        <f aca="false">COUNTIF('PAR Reelsets'!S$2:S$1000,$A9)</f>
        <v>0</v>
      </c>
      <c r="P9" s="0" t="n">
        <f aca="false">COUNTIF('PAR Reelsets'!T$2:T$1000,$A9)</f>
        <v>25</v>
      </c>
      <c r="Q9" s="0" t="n">
        <f aca="false">COUNTIF('PAR Reelsets'!W$2:W$1000,$A9)</f>
        <v>6</v>
      </c>
      <c r="R9" s="0" t="n">
        <f aca="false">COUNTIF('PAR Reelsets'!X$2:X$1000,$A9)</f>
        <v>6</v>
      </c>
      <c r="S9" s="0" t="n">
        <f aca="false">COUNTIF('PAR Reelsets'!Y$2:Y$1000,$A9)</f>
        <v>6</v>
      </c>
      <c r="T9" s="0" t="n">
        <f aca="false">COUNTIF('PAR Reelsets'!Z$2:Z$1000,$A9)</f>
        <v>6</v>
      </c>
      <c r="U9" s="0" t="n">
        <f aca="false">COUNTIF('PAR Reelsets'!AA$2:AA$1000,$A9)</f>
        <v>6</v>
      </c>
    </row>
    <row r="10" customFormat="false" ht="15" hidden="false" customHeight="false" outlineLevel="0" collapsed="false">
      <c r="A10" s="0" t="s">
        <v>78</v>
      </c>
      <c r="B10" s="0" t="n">
        <f aca="false">COUNTIF('PAR Reelsets'!B$2:B$1000,$A10)</f>
        <v>48</v>
      </c>
      <c r="C10" s="0" t="n">
        <f aca="false">COUNTIF('PAR Reelsets'!C$2:C$1000,$A10)</f>
        <v>48</v>
      </c>
      <c r="D10" s="0" t="n">
        <f aca="false">COUNTIF('PAR Reelsets'!D$2:D$1000,$A10)</f>
        <v>48</v>
      </c>
      <c r="E10" s="0" t="n">
        <f aca="false">COUNTIF('PAR Reelsets'!E$2:E$1000,$A10)</f>
        <v>48</v>
      </c>
      <c r="F10" s="0" t="n">
        <f aca="false">COUNTIF('PAR Reelsets'!F$2:F$1000,$A10)</f>
        <v>48</v>
      </c>
      <c r="G10" s="0" t="n">
        <f aca="false">COUNTIF('PAR Reelsets'!I$2:I$1000,$A10)</f>
        <v>40</v>
      </c>
      <c r="H10" s="0" t="n">
        <f aca="false">COUNTIF('PAR Reelsets'!J$2:J$1000,$A10)</f>
        <v>40</v>
      </c>
      <c r="I10" s="0" t="n">
        <f aca="false">COUNTIF('PAR Reelsets'!K$2:K$1000,$A10)</f>
        <v>40</v>
      </c>
      <c r="J10" s="0" t="n">
        <f aca="false">COUNTIF('PAR Reelsets'!L$2:L$1000,$A10)</f>
        <v>40</v>
      </c>
      <c r="K10" s="0" t="n">
        <f aca="false">COUNTIF('PAR Reelsets'!M$2:M$1000,$A10)</f>
        <v>40</v>
      </c>
      <c r="L10" s="0" t="n">
        <f aca="false">COUNTIF('PAR Reelsets'!P$2:P$1000,$A10)</f>
        <v>0</v>
      </c>
      <c r="M10" s="0" t="n">
        <f aca="false">COUNTIF('PAR Reelsets'!Q$2:Q$1000,$A10)</f>
        <v>36</v>
      </c>
      <c r="N10" s="0" t="n">
        <f aca="false">COUNTIF('PAR Reelsets'!R$2:R$1000,$A10)</f>
        <v>0</v>
      </c>
      <c r="O10" s="0" t="n">
        <f aca="false">COUNTIF('PAR Reelsets'!S$2:S$1000,$A10)</f>
        <v>36</v>
      </c>
      <c r="P10" s="0" t="n">
        <f aca="false">COUNTIF('PAR Reelsets'!T$2:T$1000,$A10)</f>
        <v>0</v>
      </c>
      <c r="Q10" s="0" t="n">
        <f aca="false">COUNTIF('PAR Reelsets'!W$2:W$1000,$A10)</f>
        <v>6</v>
      </c>
      <c r="R10" s="0" t="n">
        <f aca="false">COUNTIF('PAR Reelsets'!X$2:X$1000,$A10)</f>
        <v>6</v>
      </c>
      <c r="S10" s="0" t="n">
        <f aca="false">COUNTIF('PAR Reelsets'!Y$2:Y$1000,$A10)</f>
        <v>6</v>
      </c>
      <c r="T10" s="0" t="n">
        <f aca="false">COUNTIF('PAR Reelsets'!Z$2:Z$1000,$A10)</f>
        <v>6</v>
      </c>
      <c r="U10" s="0" t="n">
        <f aca="false">COUNTIF('PAR Reelsets'!AA$2:AA$1000,$A10)</f>
        <v>6</v>
      </c>
    </row>
    <row r="11" customFormat="false" ht="15" hidden="false" customHeight="false" outlineLevel="0" collapsed="false">
      <c r="A11" s="0" t="s">
        <v>81</v>
      </c>
      <c r="B11" s="0" t="n">
        <f aca="false">COUNTIF('PAR Reelsets'!B$2:B$1000,$A11)</f>
        <v>50</v>
      </c>
      <c r="C11" s="0" t="n">
        <f aca="false">COUNTIF('PAR Reelsets'!C$2:C$1000,$A11)</f>
        <v>50</v>
      </c>
      <c r="D11" s="0" t="n">
        <f aca="false">COUNTIF('PAR Reelsets'!D$2:D$1000,$A11)</f>
        <v>50</v>
      </c>
      <c r="E11" s="0" t="n">
        <f aca="false">COUNTIF('PAR Reelsets'!E$2:E$1000,$A11)</f>
        <v>50</v>
      </c>
      <c r="F11" s="0" t="n">
        <f aca="false">COUNTIF('PAR Reelsets'!F$2:F$1000,$A11)</f>
        <v>50</v>
      </c>
      <c r="G11" s="0" t="n">
        <f aca="false">COUNTIF('PAR Reelsets'!I$2:I$1000,$A11)</f>
        <v>44</v>
      </c>
      <c r="H11" s="0" t="n">
        <f aca="false">COUNTIF('PAR Reelsets'!J$2:J$1000,$A11)</f>
        <v>44</v>
      </c>
      <c r="I11" s="0" t="n">
        <f aca="false">COUNTIF('PAR Reelsets'!K$2:K$1000,$A11)</f>
        <v>44</v>
      </c>
      <c r="J11" s="0" t="n">
        <f aca="false">COUNTIF('PAR Reelsets'!L$2:L$1000,$A11)</f>
        <v>44</v>
      </c>
      <c r="K11" s="0" t="n">
        <f aca="false">COUNTIF('PAR Reelsets'!M$2:M$1000,$A11)</f>
        <v>44</v>
      </c>
      <c r="L11" s="0" t="n">
        <f aca="false">COUNTIF('PAR Reelsets'!P$2:P$1000,$A11)</f>
        <v>25</v>
      </c>
      <c r="M11" s="0" t="n">
        <f aca="false">COUNTIF('PAR Reelsets'!Q$2:Q$1000,$A11)</f>
        <v>0</v>
      </c>
      <c r="N11" s="0" t="n">
        <f aca="false">COUNTIF('PAR Reelsets'!R$2:R$1000,$A11)</f>
        <v>25</v>
      </c>
      <c r="O11" s="0" t="n">
        <f aca="false">COUNTIF('PAR Reelsets'!S$2:S$1000,$A11)</f>
        <v>0</v>
      </c>
      <c r="P11" s="0" t="n">
        <f aca="false">COUNTIF('PAR Reelsets'!T$2:T$1000,$A11)</f>
        <v>25</v>
      </c>
      <c r="Q11" s="0" t="n">
        <f aca="false">COUNTIF('PAR Reelsets'!W$2:W$1000,$A11)</f>
        <v>6</v>
      </c>
      <c r="R11" s="0" t="n">
        <f aca="false">COUNTIF('PAR Reelsets'!X$2:X$1000,$A11)</f>
        <v>6</v>
      </c>
      <c r="S11" s="0" t="n">
        <f aca="false">COUNTIF('PAR Reelsets'!Y$2:Y$1000,$A11)</f>
        <v>6</v>
      </c>
      <c r="T11" s="0" t="n">
        <f aca="false">COUNTIF('PAR Reelsets'!Z$2:Z$1000,$A11)</f>
        <v>6</v>
      </c>
      <c r="U11" s="0" t="n">
        <f aca="false">COUNTIF('PAR Reelsets'!AA$2:AA$1000,$A11)</f>
        <v>6</v>
      </c>
    </row>
    <row r="12" customFormat="false" ht="15" hidden="false" customHeight="false" outlineLevel="0" collapsed="false">
      <c r="A12" s="0" t="s">
        <v>83</v>
      </c>
      <c r="B12" s="0" t="n">
        <f aca="false">COUNTIF('PAR Reelsets'!B$2:B$1000,$A12)</f>
        <v>52</v>
      </c>
      <c r="C12" s="0" t="n">
        <f aca="false">COUNTIF('PAR Reelsets'!C$2:C$1000,$A12)</f>
        <v>52</v>
      </c>
      <c r="D12" s="0" t="n">
        <f aca="false">COUNTIF('PAR Reelsets'!D$2:D$1000,$A12)</f>
        <v>52</v>
      </c>
      <c r="E12" s="0" t="n">
        <f aca="false">COUNTIF('PAR Reelsets'!E$2:E$1000,$A12)</f>
        <v>52</v>
      </c>
      <c r="F12" s="0" t="n">
        <f aca="false">COUNTIF('PAR Reelsets'!F$2:F$1000,$A12)</f>
        <v>52</v>
      </c>
      <c r="G12" s="0" t="n">
        <f aca="false">COUNTIF('PAR Reelsets'!I$2:I$1000,$A12)</f>
        <v>46</v>
      </c>
      <c r="H12" s="0" t="n">
        <f aca="false">COUNTIF('PAR Reelsets'!J$2:J$1000,$A12)</f>
        <v>46</v>
      </c>
      <c r="I12" s="0" t="n">
        <f aca="false">COUNTIF('PAR Reelsets'!K$2:K$1000,$A12)</f>
        <v>46</v>
      </c>
      <c r="J12" s="0" t="n">
        <f aca="false">COUNTIF('PAR Reelsets'!L$2:L$1000,$A12)</f>
        <v>46</v>
      </c>
      <c r="K12" s="0" t="n">
        <f aca="false">COUNTIF('PAR Reelsets'!M$2:M$1000,$A12)</f>
        <v>46</v>
      </c>
      <c r="L12" s="0" t="n">
        <f aca="false">COUNTIF('PAR Reelsets'!P$2:P$1000,$A12)</f>
        <v>0</v>
      </c>
      <c r="M12" s="0" t="n">
        <f aca="false">COUNTIF('PAR Reelsets'!Q$2:Q$1000,$A12)</f>
        <v>40</v>
      </c>
      <c r="N12" s="0" t="n">
        <f aca="false">COUNTIF('PAR Reelsets'!R$2:R$1000,$A12)</f>
        <v>0</v>
      </c>
      <c r="O12" s="0" t="n">
        <f aca="false">COUNTIF('PAR Reelsets'!S$2:S$1000,$A12)</f>
        <v>40</v>
      </c>
      <c r="P12" s="0" t="n">
        <f aca="false">COUNTIF('PAR Reelsets'!T$2:T$1000,$A12)</f>
        <v>0</v>
      </c>
      <c r="Q12" s="0" t="n">
        <f aca="false">COUNTIF('PAR Reelsets'!W$2:W$1000,$A12)</f>
        <v>6</v>
      </c>
      <c r="R12" s="0" t="n">
        <f aca="false">COUNTIF('PAR Reelsets'!X$2:X$1000,$A12)</f>
        <v>6</v>
      </c>
      <c r="S12" s="0" t="n">
        <f aca="false">COUNTIF('PAR Reelsets'!Y$2:Y$1000,$A12)</f>
        <v>6</v>
      </c>
      <c r="T12" s="0" t="n">
        <f aca="false">COUNTIF('PAR Reelsets'!Z$2:Z$1000,$A12)</f>
        <v>6</v>
      </c>
      <c r="U12" s="0" t="n">
        <f aca="false">COUNTIF('PAR Reelsets'!AA$2:AA$1000,$A12)</f>
        <v>6</v>
      </c>
    </row>
    <row r="13" customFormat="false" ht="15" hidden="false" customHeight="false" outlineLevel="0" collapsed="false">
      <c r="A13" s="0" t="s">
        <v>89</v>
      </c>
      <c r="B13" s="0" t="n">
        <f aca="false">COUNTIF('PAR Reelsets'!B$2:B$1000,$A13)</f>
        <v>54</v>
      </c>
      <c r="C13" s="0" t="n">
        <f aca="false">COUNTIF('PAR Reelsets'!C$2:C$1000,$A13)</f>
        <v>54</v>
      </c>
      <c r="D13" s="0" t="n">
        <f aca="false">COUNTIF('PAR Reelsets'!D$2:D$1000,$A13)</f>
        <v>54</v>
      </c>
      <c r="E13" s="0" t="n">
        <f aca="false">COUNTIF('PAR Reelsets'!E$2:E$1000,$A13)</f>
        <v>54</v>
      </c>
      <c r="F13" s="0" t="n">
        <f aca="false">COUNTIF('PAR Reelsets'!F$2:F$1000,$A13)</f>
        <v>54</v>
      </c>
      <c r="G13" s="0" t="n">
        <f aca="false">COUNTIF('PAR Reelsets'!I$2:I$1000,$A13)</f>
        <v>48</v>
      </c>
      <c r="H13" s="0" t="n">
        <f aca="false">COUNTIF('PAR Reelsets'!J$2:J$1000,$A13)</f>
        <v>48</v>
      </c>
      <c r="I13" s="0" t="n">
        <f aca="false">COUNTIF('PAR Reelsets'!K$2:K$1000,$A13)</f>
        <v>48</v>
      </c>
      <c r="J13" s="0" t="n">
        <f aca="false">COUNTIF('PAR Reelsets'!L$2:L$1000,$A13)</f>
        <v>48</v>
      </c>
      <c r="K13" s="0" t="n">
        <f aca="false">COUNTIF('PAR Reelsets'!M$2:M$1000,$A13)</f>
        <v>48</v>
      </c>
      <c r="L13" s="0" t="n">
        <f aca="false">COUNTIF('PAR Reelsets'!P$2:P$1000,$A13)</f>
        <v>25</v>
      </c>
      <c r="M13" s="0" t="n">
        <f aca="false">COUNTIF('PAR Reelsets'!Q$2:Q$1000,$A13)</f>
        <v>0</v>
      </c>
      <c r="N13" s="0" t="n">
        <f aca="false">COUNTIF('PAR Reelsets'!R$2:R$1000,$A13)</f>
        <v>25</v>
      </c>
      <c r="O13" s="0" t="n">
        <f aca="false">COUNTIF('PAR Reelsets'!S$2:S$1000,$A13)</f>
        <v>0</v>
      </c>
      <c r="P13" s="0" t="n">
        <f aca="false">COUNTIF('PAR Reelsets'!T$2:T$1000,$A13)</f>
        <v>25</v>
      </c>
      <c r="Q13" s="0" t="n">
        <f aca="false">COUNTIF('PAR Reelsets'!W$2:W$1000,$A13)</f>
        <v>6</v>
      </c>
      <c r="R13" s="0" t="n">
        <f aca="false">COUNTIF('PAR Reelsets'!X$2:X$1000,$A13)</f>
        <v>6</v>
      </c>
      <c r="S13" s="0" t="n">
        <f aca="false">COUNTIF('PAR Reelsets'!Y$2:Y$1000,$A13)</f>
        <v>6</v>
      </c>
      <c r="T13" s="0" t="n">
        <f aca="false">COUNTIF('PAR Reelsets'!Z$2:Z$1000,$A13)</f>
        <v>6</v>
      </c>
      <c r="U13" s="0" t="n">
        <f aca="false">COUNTIF('PAR Reelsets'!AA$2:AA$1000,$A13)</f>
        <v>6</v>
      </c>
    </row>
    <row r="14" customFormat="false" ht="15" hidden="false" customHeight="false" outlineLevel="0" collapsed="false">
      <c r="A14" s="0" t="s">
        <v>93</v>
      </c>
      <c r="B14" s="0" t="n">
        <f aca="false">COUNTIF('PAR Reelsets'!B$2:B$1000,$A14)</f>
        <v>56</v>
      </c>
      <c r="C14" s="0" t="n">
        <f aca="false">COUNTIF('PAR Reelsets'!C$2:C$1000,$A14)</f>
        <v>56</v>
      </c>
      <c r="D14" s="0" t="n">
        <f aca="false">COUNTIF('PAR Reelsets'!D$2:D$1000,$A14)</f>
        <v>56</v>
      </c>
      <c r="E14" s="0" t="n">
        <f aca="false">COUNTIF('PAR Reelsets'!E$2:E$1000,$A14)</f>
        <v>56</v>
      </c>
      <c r="F14" s="0" t="n">
        <f aca="false">COUNTIF('PAR Reelsets'!F$2:F$1000,$A14)</f>
        <v>56</v>
      </c>
      <c r="G14" s="0" t="n">
        <f aca="false">COUNTIF('PAR Reelsets'!I$2:I$1000,$A14)</f>
        <v>50</v>
      </c>
      <c r="H14" s="0" t="n">
        <f aca="false">COUNTIF('PAR Reelsets'!J$2:J$1000,$A14)</f>
        <v>50</v>
      </c>
      <c r="I14" s="0" t="n">
        <f aca="false">COUNTIF('PAR Reelsets'!K$2:K$1000,$A14)</f>
        <v>50</v>
      </c>
      <c r="J14" s="0" t="n">
        <f aca="false">COUNTIF('PAR Reelsets'!L$2:L$1000,$A14)</f>
        <v>50</v>
      </c>
      <c r="K14" s="0" t="n">
        <f aca="false">COUNTIF('PAR Reelsets'!M$2:M$1000,$A14)</f>
        <v>50</v>
      </c>
      <c r="L14" s="0" t="n">
        <f aca="false">COUNTIF('PAR Reelsets'!P$2:P$1000,$A14)</f>
        <v>0</v>
      </c>
      <c r="M14" s="0" t="n">
        <f aca="false">COUNTIF('PAR Reelsets'!Q$2:Q$1000,$A14)</f>
        <v>44</v>
      </c>
      <c r="N14" s="0" t="n">
        <f aca="false">COUNTIF('PAR Reelsets'!R$2:R$1000,$A14)</f>
        <v>0</v>
      </c>
      <c r="O14" s="0" t="n">
        <f aca="false">COUNTIF('PAR Reelsets'!S$2:S$1000,$A14)</f>
        <v>44</v>
      </c>
      <c r="P14" s="0" t="n">
        <f aca="false">COUNTIF('PAR Reelsets'!T$2:T$1000,$A14)</f>
        <v>0</v>
      </c>
      <c r="Q14" s="0" t="n">
        <f aca="false">COUNTIF('PAR Reelsets'!W$2:W$1000,$A14)</f>
        <v>6</v>
      </c>
      <c r="R14" s="0" t="n">
        <f aca="false">COUNTIF('PAR Reelsets'!X$2:X$1000,$A14)</f>
        <v>6</v>
      </c>
      <c r="S14" s="0" t="n">
        <f aca="false">COUNTIF('PAR Reelsets'!Y$2:Y$1000,$A14)</f>
        <v>6</v>
      </c>
      <c r="T14" s="0" t="n">
        <f aca="false">COUNTIF('PAR Reelsets'!Z$2:Z$1000,$A14)</f>
        <v>6</v>
      </c>
      <c r="U14" s="0" t="n">
        <f aca="false">COUNTIF('PAR Reelsets'!AA$2:AA$1000,$A14)</f>
        <v>6</v>
      </c>
    </row>
    <row r="15" customFormat="false" ht="15" hidden="false" customHeight="false" outlineLevel="0" collapsed="false">
      <c r="A15" s="0" t="s">
        <v>96</v>
      </c>
      <c r="B15" s="0" t="n">
        <f aca="false">COUNTIF('PAR Reelsets'!B$2:B$1000,$A15)</f>
        <v>57</v>
      </c>
      <c r="C15" s="0" t="n">
        <f aca="false">COUNTIF('PAR Reelsets'!C$2:C$1000,$A15)</f>
        <v>58</v>
      </c>
      <c r="D15" s="0" t="n">
        <f aca="false">COUNTIF('PAR Reelsets'!D$2:D$1000,$A15)</f>
        <v>57</v>
      </c>
      <c r="E15" s="0" t="n">
        <f aca="false">COUNTIF('PAR Reelsets'!E$2:E$1000,$A15)</f>
        <v>58</v>
      </c>
      <c r="F15" s="0" t="n">
        <f aca="false">COUNTIF('PAR Reelsets'!F$2:F$1000,$A15)</f>
        <v>57</v>
      </c>
      <c r="G15" s="0" t="n">
        <f aca="false">COUNTIF('PAR Reelsets'!I$2:I$1000,$A15)</f>
        <v>51</v>
      </c>
      <c r="H15" s="0" t="n">
        <f aca="false">COUNTIF('PAR Reelsets'!J$2:J$1000,$A15)</f>
        <v>57</v>
      </c>
      <c r="I15" s="0" t="n">
        <f aca="false">COUNTIF('PAR Reelsets'!K$2:K$1000,$A15)</f>
        <v>57</v>
      </c>
      <c r="J15" s="0" t="n">
        <f aca="false">COUNTIF('PAR Reelsets'!L$2:L$1000,$A15)</f>
        <v>57</v>
      </c>
      <c r="K15" s="0" t="n">
        <f aca="false">COUNTIF('PAR Reelsets'!M$2:M$1000,$A15)</f>
        <v>51</v>
      </c>
      <c r="L15" s="0" t="n">
        <f aca="false">COUNTIF('PAR Reelsets'!P$2:P$1000,$A15)</f>
        <v>25</v>
      </c>
      <c r="M15" s="0" t="n">
        <f aca="false">COUNTIF('PAR Reelsets'!Q$2:Q$1000,$A15)</f>
        <v>0</v>
      </c>
      <c r="N15" s="0" t="n">
        <f aca="false">COUNTIF('PAR Reelsets'!R$2:R$1000,$A15)</f>
        <v>25</v>
      </c>
      <c r="O15" s="0" t="n">
        <f aca="false">COUNTIF('PAR Reelsets'!S$2:S$1000,$A15)</f>
        <v>0</v>
      </c>
      <c r="P15" s="0" t="n">
        <f aca="false">COUNTIF('PAR Reelsets'!T$2:T$1000,$A15)</f>
        <v>25</v>
      </c>
      <c r="Q15" s="0" t="n">
        <f aca="false">COUNTIF('PAR Reelsets'!W$2:W$1000,$A15)</f>
        <v>6</v>
      </c>
      <c r="R15" s="0" t="n">
        <f aca="false">COUNTIF('PAR Reelsets'!X$2:X$1000,$A15)</f>
        <v>6</v>
      </c>
      <c r="S15" s="0" t="n">
        <f aca="false">COUNTIF('PAR Reelsets'!Y$2:Y$1000,$A15)</f>
        <v>6</v>
      </c>
      <c r="T15" s="0" t="n">
        <f aca="false">COUNTIF('PAR Reelsets'!Z$2:Z$1000,$A15)</f>
        <v>6</v>
      </c>
      <c r="U15" s="0" t="n">
        <f aca="false">COUNTIF('PAR Reelsets'!AA$2:AA$1000,$A15)</f>
        <v>6</v>
      </c>
    </row>
    <row r="16" customFormat="false" ht="15" hidden="false" customHeight="false" outlineLevel="0" collapsed="false">
      <c r="A16" s="0" t="s">
        <v>149</v>
      </c>
      <c r="B16" s="0" t="n">
        <f aca="false">COUNTIF('PAR Reelsets'!B$2:B$1000,$A16)</f>
        <v>0</v>
      </c>
      <c r="C16" s="0" t="n">
        <f aca="false">COUNTIF('PAR Reelsets'!C$2:C$1000,$A16)</f>
        <v>19</v>
      </c>
      <c r="D16" s="0" t="n">
        <f aca="false">COUNTIF('PAR Reelsets'!D$2:D$1000,$A16)</f>
        <v>19</v>
      </c>
      <c r="E16" s="0" t="n">
        <f aca="false">COUNTIF('PAR Reelsets'!E$2:E$1000,$A16)</f>
        <v>19</v>
      </c>
      <c r="F16" s="0" t="n">
        <f aca="false">COUNTIF('PAR Reelsets'!F$2:F$1000,$A16)</f>
        <v>0</v>
      </c>
      <c r="G16" s="0" t="n">
        <f aca="false">COUNTIF('PAR Reelsets'!I$2:I$1000,$A16)</f>
        <v>0</v>
      </c>
      <c r="H16" s="0" t="n">
        <f aca="false">COUNTIF('PAR Reelsets'!J$2:J$1000,$A16)</f>
        <v>18</v>
      </c>
      <c r="I16" s="0" t="n">
        <f aca="false">COUNTIF('PAR Reelsets'!K$2:K$1000,$A16)</f>
        <v>18</v>
      </c>
      <c r="J16" s="0" t="n">
        <f aca="false">COUNTIF('PAR Reelsets'!L$2:L$1000,$A16)</f>
        <v>18</v>
      </c>
      <c r="K16" s="0" t="n">
        <f aca="false">COUNTIF('PAR Reelsets'!M$2:M$1000,$A16)</f>
        <v>0</v>
      </c>
      <c r="L16" s="0" t="n">
        <f aca="false">COUNTIF('PAR Reelsets'!P$2:P$1000,$A16)</f>
        <v>0</v>
      </c>
      <c r="M16" s="0" t="n">
        <f aca="false">COUNTIF('PAR Reelsets'!Q$2:Q$1000,$A16)</f>
        <v>0</v>
      </c>
      <c r="N16" s="0" t="n">
        <f aca="false">COUNTIF('PAR Reelsets'!R$2:R$1000,$A16)</f>
        <v>0</v>
      </c>
      <c r="O16" s="0" t="n">
        <f aca="false">COUNTIF('PAR Reelsets'!S$2:S$1000,$A16)</f>
        <v>0</v>
      </c>
      <c r="P16" s="0" t="n">
        <f aca="false">COUNTIF('PAR Reelsets'!T$2:T$1000,$A16)</f>
        <v>0</v>
      </c>
      <c r="Q16" s="0" t="n">
        <f aca="false">COUNTIF('PAR Reelsets'!W$2:W$1000,$A16)</f>
        <v>0</v>
      </c>
      <c r="R16" s="0" t="n">
        <f aca="false">COUNTIF('PAR Reelsets'!X$2:X$1000,$A16)</f>
        <v>0</v>
      </c>
      <c r="S16" s="0" t="n">
        <f aca="false">COUNTIF('PAR Reelsets'!Y$2:Y$1000,$A16)</f>
        <v>0</v>
      </c>
      <c r="T16" s="0" t="n">
        <f aca="false">COUNTIF('PAR Reelsets'!Z$2:Z$1000,$A16)</f>
        <v>0</v>
      </c>
      <c r="U16" s="0" t="n">
        <f aca="false">COUNTIF('PAR Reelsets'!AA$2:AA$1000,$A16)</f>
        <v>0</v>
      </c>
    </row>
    <row r="17" customFormat="false" ht="15" hidden="false" customHeight="false" outlineLevel="0" collapsed="false">
      <c r="A17" s="0" t="s">
        <v>147</v>
      </c>
      <c r="B17" s="0" t="n">
        <f aca="false">COUNTIF('PAR Reelsets'!B$2:B$1000,$A17)</f>
        <v>22</v>
      </c>
      <c r="C17" s="0" t="n">
        <f aca="false">COUNTIF('PAR Reelsets'!C$2:C$1000,$A17)</f>
        <v>0</v>
      </c>
      <c r="D17" s="0" t="n">
        <f aca="false">COUNTIF('PAR Reelsets'!D$2:D$1000,$A17)</f>
        <v>22</v>
      </c>
      <c r="E17" s="0" t="n">
        <f aca="false">COUNTIF('PAR Reelsets'!E$2:E$1000,$A17)</f>
        <v>0</v>
      </c>
      <c r="F17" s="0" t="n">
        <f aca="false">COUNTIF('PAR Reelsets'!F$2:F$1000,$A17)</f>
        <v>22</v>
      </c>
      <c r="G17" s="0" t="n">
        <f aca="false">COUNTIF('PAR Reelsets'!I$2:I$1000,$A17)</f>
        <v>0</v>
      </c>
      <c r="H17" s="0" t="n">
        <f aca="false">COUNTIF('PAR Reelsets'!J$2:J$1000,$A17)</f>
        <v>0</v>
      </c>
      <c r="I17" s="0" t="n">
        <f aca="false">COUNTIF('PAR Reelsets'!K$2:K$1000,$A17)</f>
        <v>0</v>
      </c>
      <c r="J17" s="0" t="n">
        <f aca="false">COUNTIF('PAR Reelsets'!L$2:L$1000,$A17)</f>
        <v>0</v>
      </c>
      <c r="K17" s="0" t="n">
        <f aca="false">COUNTIF('PAR Reelsets'!M$2:M$1000,$A17)</f>
        <v>0</v>
      </c>
      <c r="L17" s="0" t="n">
        <f aca="false">COUNTIF('PAR Reelsets'!P$2:P$1000,$A17)</f>
        <v>50</v>
      </c>
      <c r="M17" s="0" t="n">
        <f aca="false">COUNTIF('PAR Reelsets'!Q$2:Q$1000,$A17)</f>
        <v>0</v>
      </c>
      <c r="N17" s="0" t="n">
        <f aca="false">COUNTIF('PAR Reelsets'!R$2:R$1000,$A17)</f>
        <v>50</v>
      </c>
      <c r="O17" s="0" t="n">
        <f aca="false">COUNTIF('PAR Reelsets'!S$2:S$1000,$A17)</f>
        <v>0</v>
      </c>
      <c r="P17" s="0" t="n">
        <f aca="false">COUNTIF('PAR Reelsets'!T$2:T$1000,$A17)</f>
        <v>50</v>
      </c>
      <c r="Q17" s="0" t="n">
        <f aca="false">COUNTIF('PAR Reelsets'!W$2:W$1000,$A17)</f>
        <v>0</v>
      </c>
      <c r="R17" s="0" t="n">
        <f aca="false">COUNTIF('PAR Reelsets'!X$2:X$1000,$A17)</f>
        <v>0</v>
      </c>
      <c r="S17" s="0" t="n">
        <f aca="false">COUNTIF('PAR Reelsets'!Y$2:Y$1000,$A17)</f>
        <v>0</v>
      </c>
      <c r="T17" s="0" t="n">
        <f aca="false">COUNTIF('PAR Reelsets'!Z$2:Z$1000,$A17)</f>
        <v>0</v>
      </c>
      <c r="U17" s="0" t="n">
        <f aca="false">COUNTIF('PAR Reelsets'!AA$2:AA$1000,$A17)</f>
        <v>0</v>
      </c>
    </row>
    <row r="18" customFormat="false" ht="15" hidden="false" customHeight="false" outlineLevel="0" collapsed="false">
      <c r="A18" s="0" t="s">
        <v>173</v>
      </c>
      <c r="B18" s="0" t="n">
        <f aca="false">COUNTA('PAR Reelsets'!B$2:B$1000)</f>
        <v>530</v>
      </c>
      <c r="C18" s="0" t="n">
        <f aca="false">COUNTA('PAR Reelsets'!C$2:C$1000)</f>
        <v>528</v>
      </c>
      <c r="D18" s="0" t="n">
        <f aca="false">COUNTA('PAR Reelsets'!D$2:D$1000)</f>
        <v>549</v>
      </c>
      <c r="E18" s="0" t="n">
        <f aca="false">COUNTA('PAR Reelsets'!E$2:E$1000)</f>
        <v>528</v>
      </c>
      <c r="F18" s="0" t="n">
        <f aca="false">COUNTA('PAR Reelsets'!F$2:F$1000)</f>
        <v>530</v>
      </c>
      <c r="G18" s="0" t="n">
        <f aca="false">COUNTA('PAR Reelsets'!I$2:I$1000)</f>
        <v>448</v>
      </c>
      <c r="H18" s="0" t="n">
        <f aca="false">COUNTA('PAR Reelsets'!J$2:J$1000)</f>
        <v>472</v>
      </c>
      <c r="I18" s="0" t="n">
        <f aca="false">COUNTA('PAR Reelsets'!K$2:K$1000)</f>
        <v>472</v>
      </c>
      <c r="J18" s="0" t="n">
        <f aca="false">COUNTA('PAR Reelsets'!L$2:L$1000)</f>
        <v>472</v>
      </c>
      <c r="K18" s="0" t="n">
        <f aca="false">COUNTA('PAR Reelsets'!M$2:M$1000)</f>
        <v>448</v>
      </c>
      <c r="L18" s="0" t="n">
        <f aca="false">COUNTA('PAR Reelsets'!P$2:P$1000)</f>
        <v>200</v>
      </c>
      <c r="M18" s="0" t="n">
        <f aca="false">COUNTA('PAR Reelsets'!Q$2:Q$1000)</f>
        <v>180</v>
      </c>
      <c r="N18" s="0" t="n">
        <f aca="false">COUNTA('PAR Reelsets'!R$2:R$1000)</f>
        <v>200</v>
      </c>
      <c r="O18" s="0" t="n">
        <f aca="false">COUNTA('PAR Reelsets'!S$2:S$1000)</f>
        <v>180</v>
      </c>
      <c r="P18" s="0" t="n">
        <f aca="false">COUNTA('PAR Reelsets'!T$2:T$1000)</f>
        <v>200</v>
      </c>
      <c r="Q18" s="0" t="n">
        <f aca="false">COUNTA('PAR Reelsets'!W$2:W$1000)</f>
        <v>66</v>
      </c>
      <c r="R18" s="0" t="n">
        <f aca="false">COUNTA('PAR Reelsets'!X$2:X$1000)</f>
        <v>66</v>
      </c>
      <c r="S18" s="0" t="n">
        <f aca="false">COUNTA('PAR Reelsets'!Y$2:Y$1000)</f>
        <v>66</v>
      </c>
      <c r="T18" s="0" t="n">
        <f aca="false">COUNTA('PAR Reelsets'!Z$2:Z$1000)</f>
        <v>66</v>
      </c>
      <c r="U18" s="0" t="n">
        <f aca="false">COUNTA('PAR Reelsets'!AA$2:AA$1000)</f>
        <v>66</v>
      </c>
    </row>
    <row r="19" customFormat="false" ht="15" hidden="false" customHeight="false" outlineLevel="0" collapsed="false">
      <c r="A19" s="0" t="s">
        <v>174</v>
      </c>
      <c r="B19" s="0" t="str">
        <f aca="false">IF(SUM(B5:B17)=B18,"OK","CHECK")</f>
        <v>OK</v>
      </c>
      <c r="C19" s="0" t="str">
        <f aca="false">IF(SUM(C5:C17)=C18,"OK","CHECK")</f>
        <v>OK</v>
      </c>
      <c r="D19" s="0" t="str">
        <f aca="false">IF(SUM(D5:D17)=D18,"OK","CHECK")</f>
        <v>OK</v>
      </c>
      <c r="E19" s="0" t="str">
        <f aca="false">IF(SUM(E5:E17)=E18,"OK","CHECK")</f>
        <v>OK</v>
      </c>
      <c r="F19" s="0" t="str">
        <f aca="false">IF(SUM(F5:F17)=F18,"OK","CHECK")</f>
        <v>OK</v>
      </c>
      <c r="G19" s="0" t="str">
        <f aca="false">IF(SUM(G5:G17)=G18,"OK","CHECK")</f>
        <v>OK</v>
      </c>
      <c r="H19" s="0" t="str">
        <f aca="false">IF(SUM(H5:H17)=H18,"OK","CHECK")</f>
        <v>OK</v>
      </c>
      <c r="I19" s="0" t="str">
        <f aca="false">IF(SUM(I5:I17)=I18,"OK","CHECK")</f>
        <v>OK</v>
      </c>
      <c r="J19" s="0" t="str">
        <f aca="false">IF(SUM(J5:J17)=J18,"OK","CHECK")</f>
        <v>OK</v>
      </c>
      <c r="K19" s="0" t="str">
        <f aca="false">IF(SUM(K5:K17)=K18,"OK","CHECK")</f>
        <v>OK</v>
      </c>
      <c r="L19" s="0" t="str">
        <f aca="false">IF(SUM(L5:L17)=L18,"OK","CHECK")</f>
        <v>OK</v>
      </c>
      <c r="M19" s="0" t="str">
        <f aca="false">IF(SUM(M5:M17)=M18,"OK","CHECK")</f>
        <v>OK</v>
      </c>
      <c r="N19" s="0" t="str">
        <f aca="false">IF(SUM(N5:N17)=N18,"OK","CHECK")</f>
        <v>OK</v>
      </c>
      <c r="O19" s="0" t="str">
        <f aca="false">IF(SUM(O5:O17)=O18,"OK","CHECK")</f>
        <v>OK</v>
      </c>
      <c r="P19" s="0" t="str">
        <f aca="false">IF(SUM(P5:P17)=P18,"OK","CHECK")</f>
        <v>OK</v>
      </c>
      <c r="Q19" s="0" t="str">
        <f aca="false">IF(SUM(Q5:Q17)=Q18,"OK","CHECK")</f>
        <v>OK</v>
      </c>
      <c r="R19" s="0" t="str">
        <f aca="false">IF(SUM(R5:R17)=R18,"OK","CHECK")</f>
        <v>OK</v>
      </c>
      <c r="S19" s="0" t="str">
        <f aca="false">IF(SUM(S5:S17)=S18,"OK","CHECK")</f>
        <v>OK</v>
      </c>
      <c r="T19" s="0" t="str">
        <f aca="false">IF(SUM(T5:T17)=T18,"OK","CHECK")</f>
        <v>OK</v>
      </c>
      <c r="U19" s="0" t="str">
        <f aca="false">IF(SUM(U5:U17)=U18,"OK","CHECK")</f>
        <v>OK</v>
      </c>
    </row>
    <row r="21" customFormat="false" ht="15" hidden="false" customHeight="false" outlineLevel="0" collapsed="false">
      <c r="A21" s="56" t="s">
        <v>175</v>
      </c>
    </row>
    <row r="22" customFormat="false" ht="15" hidden="false" customHeight="false" outlineLevel="0" collapsed="false">
      <c r="A22" s="0" t="s">
        <v>54</v>
      </c>
      <c r="B22" s="0" t="s">
        <v>153</v>
      </c>
      <c r="C22" s="0" t="s">
        <v>154</v>
      </c>
      <c r="D22" s="0" t="s">
        <v>155</v>
      </c>
      <c r="E22" s="0" t="s">
        <v>156</v>
      </c>
      <c r="F22" s="0" t="s">
        <v>157</v>
      </c>
      <c r="G22" s="0" t="s">
        <v>158</v>
      </c>
      <c r="H22" s="0" t="s">
        <v>159</v>
      </c>
      <c r="I22" s="0" t="s">
        <v>160</v>
      </c>
      <c r="J22" s="0" t="s">
        <v>161</v>
      </c>
      <c r="K22" s="0" t="s">
        <v>162</v>
      </c>
    </row>
    <row r="23" customFormat="false" ht="15" hidden="false" customHeight="false" outlineLevel="0" collapsed="false">
      <c r="A23" s="0" t="s">
        <v>63</v>
      </c>
      <c r="B23" s="0" t="n">
        <f aca="false">B5/B$18</f>
        <v>0.0584905660377359</v>
      </c>
      <c r="C23" s="0" t="n">
        <f aca="false">C5/C$18</f>
        <v>0.0587121212121212</v>
      </c>
      <c r="D23" s="0" t="n">
        <f aca="false">D5/D$18</f>
        <v>0.0564663023679417</v>
      </c>
      <c r="E23" s="0" t="n">
        <f aca="false">E5/E$18</f>
        <v>0.0587121212121212</v>
      </c>
      <c r="F23" s="0" t="n">
        <f aca="false">F5/F$18</f>
        <v>0.0584905660377359</v>
      </c>
      <c r="G23" s="0" t="n">
        <f aca="false">G5/G$18</f>
        <v>0.0647321428571429</v>
      </c>
      <c r="H23" s="0" t="n">
        <f aca="false">H5/H$18</f>
        <v>0.0614406779661017</v>
      </c>
      <c r="I23" s="0" t="n">
        <f aca="false">I5/I$18</f>
        <v>0.0614406779661017</v>
      </c>
      <c r="J23" s="0" t="n">
        <f aca="false">J5/J$18</f>
        <v>0.0614406779661017</v>
      </c>
      <c r="K23" s="0" t="n">
        <f aca="false">K5/K$18</f>
        <v>0.0647321428571429</v>
      </c>
    </row>
    <row r="24" customFormat="false" ht="15" hidden="false" customHeight="false" outlineLevel="0" collapsed="false">
      <c r="A24" s="0" t="s">
        <v>66</v>
      </c>
      <c r="B24" s="0" t="n">
        <f aca="false">B6/B$18</f>
        <v>0.0679245283018868</v>
      </c>
      <c r="C24" s="0" t="n">
        <f aca="false">C6/C$18</f>
        <v>0.0681818181818182</v>
      </c>
      <c r="D24" s="0" t="n">
        <f aca="false">D6/D$18</f>
        <v>0.0655737704918033</v>
      </c>
      <c r="E24" s="0" t="n">
        <f aca="false">E6/E$18</f>
        <v>0.0681818181818182</v>
      </c>
      <c r="F24" s="0" t="n">
        <f aca="false">F6/F$18</f>
        <v>0.0679245283018868</v>
      </c>
      <c r="G24" s="0" t="n">
        <f aca="false">G6/G$18</f>
        <v>0.0714285714285714</v>
      </c>
      <c r="H24" s="0" t="n">
        <f aca="false">H6/H$18</f>
        <v>0.0677966101694915</v>
      </c>
      <c r="I24" s="0" t="n">
        <f aca="false">I6/I$18</f>
        <v>0.0677966101694915</v>
      </c>
      <c r="J24" s="0" t="n">
        <f aca="false">J6/J$18</f>
        <v>0.0677966101694915</v>
      </c>
      <c r="K24" s="0" t="n">
        <f aca="false">K6/K$18</f>
        <v>0.0714285714285714</v>
      </c>
    </row>
    <row r="25" customFormat="false" ht="15" hidden="false" customHeight="false" outlineLevel="0" collapsed="false">
      <c r="A25" s="0" t="s">
        <v>69</v>
      </c>
      <c r="B25" s="0" t="n">
        <f aca="false">B7/B$18</f>
        <v>0.0716981132075472</v>
      </c>
      <c r="C25" s="0" t="n">
        <f aca="false">C7/C$18</f>
        <v>0.071969696969697</v>
      </c>
      <c r="D25" s="0" t="n">
        <f aca="false">D7/D$18</f>
        <v>0.0692167577413479</v>
      </c>
      <c r="E25" s="0" t="n">
        <f aca="false">E7/E$18</f>
        <v>0.071969696969697</v>
      </c>
      <c r="F25" s="0" t="n">
        <f aca="false">F7/F$18</f>
        <v>0.0716981132075472</v>
      </c>
      <c r="G25" s="0" t="n">
        <f aca="false">G7/G$18</f>
        <v>0.0758928571428571</v>
      </c>
      <c r="H25" s="0" t="n">
        <f aca="false">H7/H$18</f>
        <v>0.0720338983050848</v>
      </c>
      <c r="I25" s="0" t="n">
        <f aca="false">I7/I$18</f>
        <v>0.0720338983050848</v>
      </c>
      <c r="J25" s="0" t="n">
        <f aca="false">J7/J$18</f>
        <v>0.0720338983050848</v>
      </c>
      <c r="K25" s="0" t="n">
        <f aca="false">K7/K$18</f>
        <v>0.0758928571428571</v>
      </c>
    </row>
    <row r="26" customFormat="false" ht="15" hidden="false" customHeight="false" outlineLevel="0" collapsed="false">
      <c r="A26" s="0" t="s">
        <v>72</v>
      </c>
      <c r="B26" s="0" t="n">
        <f aca="false">B8/B$18</f>
        <v>0.0792452830188679</v>
      </c>
      <c r="C26" s="0" t="n">
        <f aca="false">C8/C$18</f>
        <v>0.0795454545454545</v>
      </c>
      <c r="D26" s="0" t="n">
        <f aca="false">D8/D$18</f>
        <v>0.0765027322404372</v>
      </c>
      <c r="E26" s="0" t="n">
        <f aca="false">E8/E$18</f>
        <v>0.0795454545454545</v>
      </c>
      <c r="F26" s="0" t="n">
        <f aca="false">F8/F$18</f>
        <v>0.0792452830188679</v>
      </c>
      <c r="G26" s="0" t="n">
        <f aca="false">G8/G$18</f>
        <v>0.0803571428571429</v>
      </c>
      <c r="H26" s="0" t="n">
        <f aca="false">H8/H$18</f>
        <v>0.076271186440678</v>
      </c>
      <c r="I26" s="0" t="n">
        <f aca="false">I8/I$18</f>
        <v>0.076271186440678</v>
      </c>
      <c r="J26" s="0" t="n">
        <f aca="false">J8/J$18</f>
        <v>0.076271186440678</v>
      </c>
      <c r="K26" s="0" t="n">
        <f aca="false">K8/K$18</f>
        <v>0.0803571428571429</v>
      </c>
    </row>
    <row r="27" customFormat="false" ht="15" hidden="false" customHeight="false" outlineLevel="0" collapsed="false">
      <c r="A27" s="0" t="s">
        <v>75</v>
      </c>
      <c r="B27" s="0" t="n">
        <f aca="false">B9/B$18</f>
        <v>0.0830188679245283</v>
      </c>
      <c r="C27" s="0" t="n">
        <f aca="false">C9/C$18</f>
        <v>0.0833333333333333</v>
      </c>
      <c r="D27" s="0" t="n">
        <f aca="false">D9/D$18</f>
        <v>0.0801457194899818</v>
      </c>
      <c r="E27" s="0" t="n">
        <f aca="false">E9/E$18</f>
        <v>0.0833333333333333</v>
      </c>
      <c r="F27" s="0" t="n">
        <f aca="false">F9/F$18</f>
        <v>0.0830188679245283</v>
      </c>
      <c r="G27" s="0" t="n">
        <f aca="false">G9/G$18</f>
        <v>0.0848214285714286</v>
      </c>
      <c r="H27" s="0" t="n">
        <f aca="false">H9/H$18</f>
        <v>0.0805084745762712</v>
      </c>
      <c r="I27" s="0" t="n">
        <f aca="false">I9/I$18</f>
        <v>0.0805084745762712</v>
      </c>
      <c r="J27" s="0" t="n">
        <f aca="false">J9/J$18</f>
        <v>0.0805084745762712</v>
      </c>
      <c r="K27" s="0" t="n">
        <f aca="false">K9/K$18</f>
        <v>0.0848214285714286</v>
      </c>
    </row>
    <row r="28" customFormat="false" ht="15" hidden="false" customHeight="false" outlineLevel="0" collapsed="false">
      <c r="A28" s="0" t="s">
        <v>78</v>
      </c>
      <c r="B28" s="0" t="n">
        <f aca="false">B10/B$18</f>
        <v>0.0905660377358491</v>
      </c>
      <c r="C28" s="0" t="n">
        <f aca="false">C10/C$18</f>
        <v>0.0909090909090909</v>
      </c>
      <c r="D28" s="0" t="n">
        <f aca="false">D10/D$18</f>
        <v>0.087431693989071</v>
      </c>
      <c r="E28" s="0" t="n">
        <f aca="false">E10/E$18</f>
        <v>0.0909090909090909</v>
      </c>
      <c r="F28" s="0" t="n">
        <f aca="false">F10/F$18</f>
        <v>0.0905660377358491</v>
      </c>
      <c r="G28" s="0" t="n">
        <f aca="false">G10/G$18</f>
        <v>0.0892857142857143</v>
      </c>
      <c r="H28" s="0" t="n">
        <f aca="false">H10/H$18</f>
        <v>0.0847457627118644</v>
      </c>
      <c r="I28" s="0" t="n">
        <f aca="false">I10/I$18</f>
        <v>0.0847457627118644</v>
      </c>
      <c r="J28" s="0" t="n">
        <f aca="false">J10/J$18</f>
        <v>0.0847457627118644</v>
      </c>
      <c r="K28" s="0" t="n">
        <f aca="false">K10/K$18</f>
        <v>0.0892857142857143</v>
      </c>
    </row>
    <row r="29" customFormat="false" ht="15" hidden="false" customHeight="false" outlineLevel="0" collapsed="false">
      <c r="A29" s="0" t="s">
        <v>81</v>
      </c>
      <c r="B29" s="0" t="n">
        <f aca="false">B11/B$18</f>
        <v>0.0943396226415094</v>
      </c>
      <c r="C29" s="0" t="n">
        <f aca="false">C11/C$18</f>
        <v>0.0946969696969697</v>
      </c>
      <c r="D29" s="0" t="n">
        <f aca="false">D11/D$18</f>
        <v>0.0910746812386157</v>
      </c>
      <c r="E29" s="0" t="n">
        <f aca="false">E11/E$18</f>
        <v>0.0946969696969697</v>
      </c>
      <c r="F29" s="0" t="n">
        <f aca="false">F11/F$18</f>
        <v>0.0943396226415094</v>
      </c>
      <c r="G29" s="0" t="n">
        <f aca="false">G11/G$18</f>
        <v>0.0982142857142857</v>
      </c>
      <c r="H29" s="0" t="n">
        <f aca="false">H11/H$18</f>
        <v>0.0932203389830509</v>
      </c>
      <c r="I29" s="0" t="n">
        <f aca="false">I11/I$18</f>
        <v>0.0932203389830509</v>
      </c>
      <c r="J29" s="0" t="n">
        <f aca="false">J11/J$18</f>
        <v>0.0932203389830509</v>
      </c>
      <c r="K29" s="0" t="n">
        <f aca="false">K11/K$18</f>
        <v>0.0982142857142857</v>
      </c>
    </row>
    <row r="30" customFormat="false" ht="15" hidden="false" customHeight="false" outlineLevel="0" collapsed="false">
      <c r="A30" s="0" t="s">
        <v>83</v>
      </c>
      <c r="B30" s="0" t="n">
        <f aca="false">B12/B$18</f>
        <v>0.0981132075471698</v>
      </c>
      <c r="C30" s="0" t="n">
        <f aca="false">C12/C$18</f>
        <v>0.0984848484848485</v>
      </c>
      <c r="D30" s="0" t="n">
        <f aca="false">D12/D$18</f>
        <v>0.0947176684881603</v>
      </c>
      <c r="E30" s="0" t="n">
        <f aca="false">E12/E$18</f>
        <v>0.0984848484848485</v>
      </c>
      <c r="F30" s="0" t="n">
        <f aca="false">F12/F$18</f>
        <v>0.0981132075471698</v>
      </c>
      <c r="G30" s="0" t="n">
        <f aca="false">G12/G$18</f>
        <v>0.102678571428571</v>
      </c>
      <c r="H30" s="0" t="n">
        <f aca="false">H12/H$18</f>
        <v>0.0974576271186441</v>
      </c>
      <c r="I30" s="0" t="n">
        <f aca="false">I12/I$18</f>
        <v>0.0974576271186441</v>
      </c>
      <c r="J30" s="0" t="n">
        <f aca="false">J12/J$18</f>
        <v>0.0974576271186441</v>
      </c>
      <c r="K30" s="0" t="n">
        <f aca="false">K12/K$18</f>
        <v>0.102678571428571</v>
      </c>
    </row>
    <row r="31" customFormat="false" ht="15" hidden="false" customHeight="false" outlineLevel="0" collapsed="false">
      <c r="A31" s="0" t="s">
        <v>89</v>
      </c>
      <c r="B31" s="0" t="n">
        <f aca="false">B13/B$18</f>
        <v>0.10188679245283</v>
      </c>
      <c r="C31" s="0" t="n">
        <f aca="false">C13/C$18</f>
        <v>0.102272727272727</v>
      </c>
      <c r="D31" s="0" t="n">
        <f aca="false">D13/D$18</f>
        <v>0.0983606557377049</v>
      </c>
      <c r="E31" s="0" t="n">
        <f aca="false">E13/E$18</f>
        <v>0.102272727272727</v>
      </c>
      <c r="F31" s="0" t="n">
        <f aca="false">F13/F$18</f>
        <v>0.10188679245283</v>
      </c>
      <c r="G31" s="0" t="n">
        <f aca="false">G13/G$18</f>
        <v>0.107142857142857</v>
      </c>
      <c r="H31" s="0" t="n">
        <f aca="false">H13/H$18</f>
        <v>0.101694915254237</v>
      </c>
      <c r="I31" s="0" t="n">
        <f aca="false">I13/I$18</f>
        <v>0.101694915254237</v>
      </c>
      <c r="J31" s="0" t="n">
        <f aca="false">J13/J$18</f>
        <v>0.101694915254237</v>
      </c>
      <c r="K31" s="0" t="n">
        <f aca="false">K13/K$18</f>
        <v>0.107142857142857</v>
      </c>
    </row>
    <row r="32" customFormat="false" ht="15" hidden="false" customHeight="false" outlineLevel="0" collapsed="false">
      <c r="A32" s="0" t="s">
        <v>93</v>
      </c>
      <c r="B32" s="0" t="n">
        <f aca="false">B14/B$18</f>
        <v>0.105660377358491</v>
      </c>
      <c r="C32" s="0" t="n">
        <f aca="false">C14/C$18</f>
        <v>0.106060606060606</v>
      </c>
      <c r="D32" s="0" t="n">
        <f aca="false">D14/D$18</f>
        <v>0.10200364298725</v>
      </c>
      <c r="E32" s="0" t="n">
        <f aca="false">E14/E$18</f>
        <v>0.106060606060606</v>
      </c>
      <c r="F32" s="0" t="n">
        <f aca="false">F14/F$18</f>
        <v>0.105660377358491</v>
      </c>
      <c r="G32" s="0" t="n">
        <f aca="false">G14/G$18</f>
        <v>0.111607142857143</v>
      </c>
      <c r="H32" s="0" t="n">
        <f aca="false">H14/H$18</f>
        <v>0.105932203389831</v>
      </c>
      <c r="I32" s="0" t="n">
        <f aca="false">I14/I$18</f>
        <v>0.105932203389831</v>
      </c>
      <c r="J32" s="0" t="n">
        <f aca="false">J14/J$18</f>
        <v>0.105932203389831</v>
      </c>
      <c r="K32" s="0" t="n">
        <f aca="false">K14/K$18</f>
        <v>0.111607142857143</v>
      </c>
    </row>
    <row r="33" customFormat="false" ht="15" hidden="false" customHeight="false" outlineLevel="0" collapsed="false">
      <c r="A33" s="0" t="s">
        <v>96</v>
      </c>
      <c r="B33" s="0" t="n">
        <f aca="false">B15/B$18</f>
        <v>0.107547169811321</v>
      </c>
      <c r="C33" s="0" t="n">
        <f aca="false">C15/C$18</f>
        <v>0.109848484848485</v>
      </c>
      <c r="D33" s="0" t="n">
        <f aca="false">D15/D$18</f>
        <v>0.103825136612022</v>
      </c>
      <c r="E33" s="0" t="n">
        <f aca="false">E15/E$18</f>
        <v>0.109848484848485</v>
      </c>
      <c r="F33" s="0" t="n">
        <f aca="false">F15/F$18</f>
        <v>0.107547169811321</v>
      </c>
      <c r="G33" s="0" t="n">
        <f aca="false">G15/G$18</f>
        <v>0.113839285714286</v>
      </c>
      <c r="H33" s="0" t="n">
        <f aca="false">H15/H$18</f>
        <v>0.120762711864407</v>
      </c>
      <c r="I33" s="0" t="n">
        <f aca="false">I15/I$18</f>
        <v>0.120762711864407</v>
      </c>
      <c r="J33" s="0" t="n">
        <f aca="false">J15/J$18</f>
        <v>0.120762711864407</v>
      </c>
      <c r="K33" s="0" t="n">
        <f aca="false">K15/K$18</f>
        <v>0.113839285714286</v>
      </c>
    </row>
    <row r="34" customFormat="false" ht="15" hidden="false" customHeight="false" outlineLevel="0" collapsed="false">
      <c r="A34" s="0" t="s">
        <v>149</v>
      </c>
      <c r="B34" s="0" t="n">
        <f aca="false">B16/B$18</f>
        <v>0</v>
      </c>
      <c r="C34" s="0" t="n">
        <f aca="false">C16/C$18</f>
        <v>0.0359848484848485</v>
      </c>
      <c r="D34" s="0" t="n">
        <f aca="false">D16/D$18</f>
        <v>0.034608378870674</v>
      </c>
      <c r="E34" s="0" t="n">
        <f aca="false">E16/E$18</f>
        <v>0.0359848484848485</v>
      </c>
      <c r="F34" s="0" t="n">
        <f aca="false">F16/F$18</f>
        <v>0</v>
      </c>
      <c r="G34" s="0" t="n">
        <f aca="false">G16/G$18</f>
        <v>0</v>
      </c>
      <c r="H34" s="0" t="n">
        <f aca="false">H16/H$18</f>
        <v>0.038135593220339</v>
      </c>
      <c r="I34" s="0" t="n">
        <f aca="false">I16/I$18</f>
        <v>0.038135593220339</v>
      </c>
      <c r="J34" s="0" t="n">
        <f aca="false">J16/J$18</f>
        <v>0.038135593220339</v>
      </c>
      <c r="K34" s="0" t="n">
        <f aca="false">K16/K$18</f>
        <v>0</v>
      </c>
    </row>
    <row r="35" customFormat="false" ht="15" hidden="false" customHeight="false" outlineLevel="0" collapsed="false">
      <c r="A35" s="0" t="s">
        <v>147</v>
      </c>
      <c r="B35" s="0" t="n">
        <f aca="false">B17/B$18</f>
        <v>0.0415094339622642</v>
      </c>
      <c r="C35" s="0" t="n">
        <f aca="false">C17/C$18</f>
        <v>0</v>
      </c>
      <c r="D35" s="0" t="n">
        <f aca="false">D17/D$18</f>
        <v>0.0400728597449909</v>
      </c>
      <c r="E35" s="0" t="n">
        <f aca="false">E17/E$18</f>
        <v>0</v>
      </c>
      <c r="F35" s="0" t="n">
        <f aca="false">F17/F$18</f>
        <v>0.0415094339622642</v>
      </c>
      <c r="G35" s="0" t="n">
        <f aca="false">G17/G$18</f>
        <v>0</v>
      </c>
      <c r="H35" s="0" t="n">
        <f aca="false">H17/H$18</f>
        <v>0</v>
      </c>
      <c r="I35" s="0" t="n">
        <f aca="false">I17/I$18</f>
        <v>0</v>
      </c>
      <c r="J35" s="0" t="n">
        <f aca="false">J17/J$18</f>
        <v>0</v>
      </c>
      <c r="K35" s="0" t="n">
        <f aca="false">K17/K$18</f>
        <v>0</v>
      </c>
    </row>
    <row r="36" customFormat="false" ht="15" hidden="false" customHeight="false" outlineLevel="0" collapsed="false">
      <c r="A36" s="0" t="s">
        <v>176</v>
      </c>
      <c r="B36" s="0" t="n">
        <f aca="false">SUM(B23:B35)</f>
        <v>1</v>
      </c>
      <c r="C36" s="0" t="n">
        <f aca="false">SUM(C23:C35)</f>
        <v>1</v>
      </c>
      <c r="D36" s="0" t="n">
        <f aca="false">SUM(D23:D35)</f>
        <v>1</v>
      </c>
      <c r="E36" s="0" t="n">
        <f aca="false">SUM(E23:E35)</f>
        <v>1</v>
      </c>
      <c r="F36" s="0" t="n">
        <f aca="false">SUM(F23:F35)</f>
        <v>1</v>
      </c>
      <c r="G36" s="0" t="n">
        <f aca="false">SUM(G23:G35)</f>
        <v>1</v>
      </c>
      <c r="H36" s="0" t="n">
        <f aca="false">SUM(H23:H35)</f>
        <v>1</v>
      </c>
      <c r="I36" s="0" t="n">
        <f aca="false">SUM(I23:I35)</f>
        <v>1</v>
      </c>
      <c r="J36" s="0" t="n">
        <f aca="false">SUM(J23:J35)</f>
        <v>1</v>
      </c>
      <c r="K36" s="0" t="n">
        <f aca="false">SUM(K23:K35)</f>
        <v>1</v>
      </c>
    </row>
    <row r="39" customFormat="false" ht="15" hidden="false" customHeight="false" outlineLevel="0" collapsed="false">
      <c r="A39" s="56" t="s">
        <v>177</v>
      </c>
    </row>
    <row r="40" customFormat="false" ht="15" hidden="false" customHeight="false" outlineLevel="0" collapsed="false">
      <c r="A40" s="56" t="s">
        <v>54</v>
      </c>
      <c r="B40" s="56" t="s">
        <v>58</v>
      </c>
      <c r="C40" s="56" t="s">
        <v>178</v>
      </c>
      <c r="D40" s="56" t="s">
        <v>179</v>
      </c>
      <c r="E40" s="56" t="s">
        <v>180</v>
      </c>
      <c r="F40" s="56" t="s">
        <v>181</v>
      </c>
      <c r="G40" s="56" t="s">
        <v>182</v>
      </c>
      <c r="H40" s="56" t="s">
        <v>183</v>
      </c>
      <c r="I40" s="56" t="s">
        <v>184</v>
      </c>
      <c r="J40" s="56" t="s">
        <v>185</v>
      </c>
      <c r="K40" s="56" t="s">
        <v>186</v>
      </c>
      <c r="L40" s="56" t="s">
        <v>187</v>
      </c>
      <c r="M40" s="56" t="s">
        <v>188</v>
      </c>
      <c r="N40" s="56" t="s">
        <v>189</v>
      </c>
    </row>
    <row r="41" customFormat="false" ht="15" hidden="false" customHeight="false" outlineLevel="0" collapsed="false">
      <c r="A41" s="0" t="s">
        <v>63</v>
      </c>
      <c r="B41" s="0" t="s">
        <v>64</v>
      </c>
      <c r="C41" s="0" t="n">
        <f aca="false">PAR!F16</f>
        <v>1.5</v>
      </c>
      <c r="D41" s="0" t="n">
        <f aca="false">PAR!E16</f>
        <v>5</v>
      </c>
      <c r="E41" s="0" t="n">
        <f aca="false">PAR!D16</f>
        <v>20</v>
      </c>
      <c r="F41" s="0" t="n">
        <f aca="false">B23*(C23+C$34)*(D23+D$34)*(1-(E23+E$34))</f>
        <v>0.000456681627391588</v>
      </c>
      <c r="G41" s="0" t="n">
        <f aca="false">B23*(C23+C$34)*(D23+D$34)*(E23+E$34)*(1-(F23+F$34))</f>
        <v>4.49759477517176E-005</v>
      </c>
      <c r="H41" s="0" t="n">
        <f aca="false">B23*(C23+C$34)*(D23+D$34)*(E23+E$34)*(F23+F$34)*1</f>
        <v>2.79409695451552E-006</v>
      </c>
      <c r="I41" s="0" t="n">
        <f aca="false">C41*B23*((C23*D23)+Calc!$C$80*(C$34*(D23+D$34)+D$34*(C23+C$34)))*(1-(E23+E$34))</f>
        <v>0.00161692696994266</v>
      </c>
      <c r="J41" s="0" t="n">
        <f aca="false">D41*B23*((C23*D23*E23)+Calc!$C$80*(C$34*(D23+D$34)*(E23+E$34)+D$34*(C23+C$34)*(E23+E$34)+E$34*(C23+C$34)*(D23+D$34)))*(1-(F23+F$34))</f>
        <v>0.000720138684059311</v>
      </c>
      <c r="K41" s="0" t="n">
        <f aca="false">E41*B23*((C23*D23*E23*F23)+Calc!$C$80*(C$34*(D23+D$34)*(E23+E$34)*(F23+F$34)+D$34*(C23+C$34)*(E23+E$34)*(F23+F$34)+E$34*(C23+C$34)*(D23+D$34)*(F23+F$34)+F$34*(C23+C$34)*(D23+D$34)*(E23+E$34)))*1</f>
        <v>0.000178952298243195</v>
      </c>
      <c r="L41" s="0" t="n">
        <f aca="false">C41*B23*(C23*D23)*(1-(E23+E$34))+D41*B23*(C23*D23*E23)*(1-(F23+F$34))+E41*B23*(C23*D23*E23*F23)*1</f>
        <v>0.000330235995512362</v>
      </c>
      <c r="M41" s="0" t="n">
        <f aca="false">SUM(I41:K41)-L41</f>
        <v>0.0021857819567328</v>
      </c>
      <c r="N41" s="0" t="n">
        <f aca="false">SUM(I41:K41)*Calc!$C$79</f>
        <v>0.100640718089807</v>
      </c>
    </row>
    <row r="42" customFormat="false" ht="15" hidden="false" customHeight="false" outlineLevel="0" collapsed="false">
      <c r="A42" s="0" t="s">
        <v>66</v>
      </c>
      <c r="B42" s="0" t="s">
        <v>67</v>
      </c>
      <c r="C42" s="0" t="n">
        <f aca="false">PAR!F17</f>
        <v>1.25</v>
      </c>
      <c r="D42" s="0" t="n">
        <f aca="false">PAR!E17</f>
        <v>3.75</v>
      </c>
      <c r="E42" s="0" t="n">
        <f aca="false">PAR!D17</f>
        <v>12.5</v>
      </c>
      <c r="F42" s="0" t="n">
        <f aca="false">B24*(C24+C$34)*(D24+D$34)*(1-(E24+E$34))</f>
        <v>0.000634998883046362</v>
      </c>
      <c r="G42" s="0" t="n">
        <f aca="false">B24*(C24+C$34)*(D24+D$34)*(E24+E$34)*(1-(F24+F$34))</f>
        <v>6.88217306329317E-005</v>
      </c>
      <c r="H42" s="0" t="n">
        <f aca="false">B24*(C24+C$34)*(D24+D$34)*(E24+E$34)*(F24+F$34)*1</f>
        <v>5.01534879106385E-006</v>
      </c>
      <c r="I42" s="0" t="n">
        <f aca="false">C42*B24*((C24*D24)+Calc!$C$80*(C$34*(D24+D$34)+D$34*(C24+C$34)))*(1-(E24+E$34))</f>
        <v>0.00176592664582728</v>
      </c>
      <c r="J42" s="0" t="n">
        <f aca="false">D42*B24*((C24*D24*E24)+Calc!$C$80*(C$34*(D24+D$34)*(E24+E$34)+D$34*(C24+C$34)*(E24+E$34)+E$34*(C24+C$34)*(D24+D$34)))*(1-(F24+F$34))</f>
        <v>0.000767785258057247</v>
      </c>
      <c r="K42" s="0" t="n">
        <f aca="false">E42*B24*((C24*D24*E24*F24)+Calc!$C$80*(C$34*(D24+D$34)*(E24+E$34)*(F24+F$34)+D$34*(C24+C$34)*(E24+E$34)*(F24+F$34)+E$34*(C24+C$34)*(D24+D$34)*(F24+F$34)+F$34*(C24+C$34)*(D24+D$34)*(E24+E$34)))*1</f>
        <v>0.000186506540418764</v>
      </c>
      <c r="L42" s="0" t="n">
        <f aca="false">C42*B24*(C24*D24)*(1-(E24+E$34))+D42*B24*(C24*D24*E24)*(1-(F24+F$34))+E42*B24*(C24*D24*E24*F24)*1</f>
        <v>0.000430018944468322</v>
      </c>
      <c r="M42" s="0" t="n">
        <f aca="false">SUM(I42:K42)-L42</f>
        <v>0.00229019949983497</v>
      </c>
      <c r="N42" s="0" t="n">
        <f aca="false">SUM(I42:K42)*Calc!$C$79</f>
        <v>0.108808737772132</v>
      </c>
    </row>
    <row r="43" customFormat="false" ht="15" hidden="false" customHeight="false" outlineLevel="0" collapsed="false">
      <c r="A43" s="0" t="s">
        <v>69</v>
      </c>
      <c r="B43" s="0" t="s">
        <v>70</v>
      </c>
      <c r="C43" s="0" t="n">
        <f aca="false">PAR!F18</f>
        <v>0.75</v>
      </c>
      <c r="D43" s="0" t="n">
        <f aca="false">PAR!E18</f>
        <v>2</v>
      </c>
      <c r="E43" s="0" t="n">
        <f aca="false">PAR!D18</f>
        <v>7.5</v>
      </c>
      <c r="F43" s="0" t="n">
        <f aca="false">B25*(C25+C$34)*(D25+D$34)*(1-(E25+E$34))</f>
        <v>0.000716866285737901</v>
      </c>
      <c r="G43" s="0" t="n">
        <f aca="false">B25*(C25+C$34)*(D25+D$34)*(E25+E$34)*(1-(F25+F$34))</f>
        <v>8.05343833563021E-005</v>
      </c>
      <c r="H43" s="0" t="n">
        <f aca="false">B25*(C25+C$34)*(D25+D$34)*(E25+E$34)*(F25+F$34)*1</f>
        <v>6.22013529987699E-006</v>
      </c>
      <c r="I43" s="0" t="n">
        <f aca="false">C43*B25*((C25*D25)+Calc!$C$80*(C$34*(D25+D$34)+D$34*(C25+C$34)))*(1-(E25+E$34))</f>
        <v>0.00117088160003857</v>
      </c>
      <c r="J43" s="0" t="n">
        <f aca="false">D43*B25*((C25*D25*E25)+Calc!$C$80*(C$34*(D25+D$34)*(E25+E$34)+D$34*(C25+C$34)*(E25+E$34)+E$34*(C25+C$34)*(D25+D$34)))*(1-(F25+F$34))</f>
        <v>0.000466502872478728</v>
      </c>
      <c r="K43" s="0" t="n">
        <f aca="false">E43*B25*((C25*D25*E25*F25)+Calc!$C$80*(C$34*(D25+D$34)*(E25+E$34)*(F25+F$34)+D$34*(C25+C$34)*(E25+E$34)*(F25+F$34)+E$34*(C25+C$34)*(D25+D$34)*(F25+F$34)+F$34*(C25+C$34)*(D25+D$34)*(E25+E$34)))*1</f>
        <v>0.000135115161236217</v>
      </c>
      <c r="L43" s="0" t="n">
        <f aca="false">C43*B25*(C25*D25)*(1-(E25+E$34))+D43*B25*(C25*D25*E25)*(1-(F25+F$34))+E43*B25*(C25*D25*E25*F25)*1</f>
        <v>0.000300502030493873</v>
      </c>
      <c r="M43" s="0" t="n">
        <f aca="false">SUM(I43:K43)-L43</f>
        <v>0.00147199760325964</v>
      </c>
      <c r="N43" s="0" t="n">
        <f aca="false">SUM(I43:K43)*Calc!$C$79</f>
        <v>0.0708999853501406</v>
      </c>
    </row>
    <row r="44" customFormat="false" ht="15" hidden="false" customHeight="false" outlineLevel="0" collapsed="false">
      <c r="A44" s="0" t="s">
        <v>72</v>
      </c>
      <c r="B44" s="0" t="s">
        <v>73</v>
      </c>
      <c r="C44" s="0" t="n">
        <f aca="false">PAR!F19</f>
        <v>0.5</v>
      </c>
      <c r="D44" s="0" t="n">
        <f aca="false">PAR!E19</f>
        <v>1.25</v>
      </c>
      <c r="E44" s="0" t="n">
        <f aca="false">PAR!D19</f>
        <v>5</v>
      </c>
      <c r="F44" s="0" t="n">
        <f aca="false">B26*(C26+C$34)*(D26+D$34)*(1-(E26+E$34))</f>
        <v>0.000899724987149944</v>
      </c>
      <c r="G44" s="0" t="n">
        <f aca="false">B26*(C26+C$34)*(D26+D$34)*(E26+E$34)*(1-(F26+F$34))</f>
        <v>0.000108209823512099</v>
      </c>
      <c r="H44" s="0" t="n">
        <f aca="false">B26*(C26+C$34)*(D26+D$34)*(E26+E$34)*(F26+F$34)*1</f>
        <v>9.31314054817243E-006</v>
      </c>
      <c r="I44" s="0" t="n">
        <f aca="false">C44*B26*((C26*D26)+Calc!$C$80*(C$34*(D26+D$34)+D$34*(C26+C$34)))*(1-(E26+E$34))</f>
        <v>0.000941894306622922</v>
      </c>
      <c r="J44" s="0" t="n">
        <f aca="false">D44*B26*((C26*D26*E26)+Calc!$C$80*(C$34*(D26+D$34)*(E26+E$34)+D$34*(C26+C$34)*(E26+E$34)+E$34*(C26+C$34)*(D26+D$34)))*(1-(F26+F$34))</f>
        <v>0.000372771259718451</v>
      </c>
      <c r="K44" s="0" t="n">
        <f aca="false">E44*B26*((C26*D26*E26*F26)+Calc!$C$80*(C$34*(D26+D$34)*(E26+E$34)*(F26+F$34)+D$34*(C26+C$34)*(E26+E$34)*(F26+F$34)+E$34*(C26+C$34)*(D26+D$34)*(F26+F$34)+F$34*(C26+C$34)*(D26+D$34)*(E26+E$34)))*1</f>
        <v>0.00012833108941127</v>
      </c>
      <c r="L44" s="0" t="n">
        <f aca="false">C44*B26*(C26*D26)*(1-(E26+E$34))+D44*B26*(C26*D26*E26)*(1-(F26+F$34))+E44*B26*(C26*D26*E26*F26)*1</f>
        <v>0.000272614339080195</v>
      </c>
      <c r="M44" s="0" t="n">
        <f aca="false">SUM(I44:K44)-L44</f>
        <v>0.00117038231667245</v>
      </c>
      <c r="N44" s="0" t="n">
        <f aca="false">SUM(I44:K44)*Calc!$C$79</f>
        <v>0.0577198662301057</v>
      </c>
    </row>
    <row r="45" customFormat="false" ht="15" hidden="false" customHeight="false" outlineLevel="0" collapsed="false">
      <c r="A45" s="0" t="s">
        <v>75</v>
      </c>
      <c r="B45" s="0" t="s">
        <v>76</v>
      </c>
      <c r="C45" s="0" t="n">
        <f aca="false">PAR!F20</f>
        <v>0.35</v>
      </c>
      <c r="D45" s="0" t="n">
        <f aca="false">PAR!E20</f>
        <v>0.75</v>
      </c>
      <c r="E45" s="0" t="n">
        <f aca="false">PAR!D20</f>
        <v>3.75</v>
      </c>
      <c r="F45" s="0" t="n">
        <f aca="false">B27*(C27+C$34)*(D27+D$34)*(1-(E27+E$34))</f>
        <v>0.00100108434327813</v>
      </c>
      <c r="G45" s="0" t="n">
        <f aca="false">B27*(C27+C$34)*(D27+D$34)*(E27+E$34)*(1-(F27+F$34))</f>
        <v>0.000124370868015783</v>
      </c>
      <c r="H45" s="0" t="n">
        <f aca="false">B27*(C27+C$34)*(D27+D$34)*(E27+E$34)*(F27+F$34)*1</f>
        <v>1.12599139767375E-005</v>
      </c>
      <c r="I45" s="0" t="n">
        <f aca="false">C45*B27*((C27*D27)+Calc!$C$80*(C$34*(D27+D$34)+D$34*(C27+C$34)))*(1-(E27+E$34))</f>
        <v>0.000720392299372735</v>
      </c>
      <c r="J45" s="0" t="n">
        <f aca="false">D45*B27*((C27*D27*E27)+Calc!$C$80*(C$34*(D27+D$34)*(E27+E$34)+D$34*(C27+C$34)*(E27+E$34)+E$34*(C27+C$34)*(D27+D$34)))*(1-(F27+F$34))</f>
        <v>0.00025120299565374</v>
      </c>
      <c r="K45" s="0" t="n">
        <f aca="false">E45*B27*((C27*D27*E27*F27)+Calc!$C$80*(C$34*(D27+D$34)*(E27+E$34)*(F27+F$34)+D$34*(C27+C$34)*(E27+E$34)*(F27+F$34)+E$34*(C27+C$34)*(D27+D$34)*(F27+F$34)+F$34*(C27+C$34)*(D27+D$34)*(E27+E$34)))*1</f>
        <v>0.000113713290213627</v>
      </c>
      <c r="L45" s="0" t="n">
        <f aca="false">C45*B27*(C27*D27)*(1-(E27+E$34))+D45*B27*(C27*D27*E27)*(1-(F27+F$34))+E45*B27*(C27*D27*E27*F27)*1</f>
        <v>0.000217070239794329</v>
      </c>
      <c r="M45" s="0" t="n">
        <f aca="false">SUM(I45:K45)-L45</f>
        <v>0.000868238345445774</v>
      </c>
      <c r="N45" s="0" t="n">
        <f aca="false">SUM(I45:K45)*Calc!$C$79</f>
        <v>0.0434123434096041</v>
      </c>
    </row>
    <row r="46" customFormat="false" ht="15" hidden="false" customHeight="false" outlineLevel="0" collapsed="false">
      <c r="A46" s="0" t="s">
        <v>78</v>
      </c>
      <c r="B46" s="0" t="s">
        <v>79</v>
      </c>
      <c r="C46" s="0" t="n">
        <f aca="false">PAR!F21</f>
        <v>0.25</v>
      </c>
      <c r="D46" s="0" t="n">
        <f aca="false">PAR!E21</f>
        <v>0.5</v>
      </c>
      <c r="E46" s="0" t="n">
        <f aca="false">PAR!D21</f>
        <v>2.5</v>
      </c>
      <c r="F46" s="0" t="n">
        <f aca="false">B28*(C28+C$34)*(D28+D$34)*(1-(E28+E$34))</f>
        <v>0.001224547705968</v>
      </c>
      <c r="G46" s="0" t="n">
        <f aca="false">B28*(C28+C$34)*(D28+D$34)*(E28+E$34)*(1-(F28+F$34))</f>
        <v>0.000161853000517868</v>
      </c>
      <c r="H46" s="0" t="n">
        <f aca="false">B28*(C28+C$34)*(D28+D$34)*(E28+E$34)*(F28+F$34)*1</f>
        <v>1.61181411304101E-005</v>
      </c>
      <c r="I46" s="0" t="n">
        <f aca="false">C46*B28*((C28*D28)+Calc!$C$80*(C$34*(D28+D$34)+D$34*(C28+C$34)))*(1-(E28+E$34))</f>
        <v>0.000608563928991761</v>
      </c>
      <c r="J46" s="0" t="n">
        <f aca="false">D46*B28*((C28*D28*E28)+Calc!$C$80*(C$34*(D28+D$34)*(E28+E$34)+D$34*(C28+C$34)*(E28+E$34)+E$34*(C28+C$34)*(D28+D$34)))*(1-(F28+F$34))</f>
        <v>0.000208761650065324</v>
      </c>
      <c r="K46" s="0" t="n">
        <f aca="false">E46*B28*((C28*D28*E28*F28)+Calc!$C$80*(C$34*(D28+D$34)*(E28+E$34)*(F28+F$34)+D$34*(C28+C$34)*(E28+E$34)*(F28+F$34)+E$34*(C28+C$34)*(D28+D$34)*(F28+F$34)+F$34*(C28+C$34)*(D28+D$34)*(E28+E$34)))*1</f>
        <v>0.000103947709576095</v>
      </c>
      <c r="L46" s="0" t="n">
        <f aca="false">C46*B28*(C28*D28)*(1-(E28+E$34))+D46*B28*(C28*D28*E28)*(1-(F28+F$34))+E46*B28*(C28*D28*E28*F28)*1</f>
        <v>0.000201700050355559</v>
      </c>
      <c r="M46" s="0" t="n">
        <f aca="false">SUM(I46:K46)-L46</f>
        <v>0.000719573238277621</v>
      </c>
      <c r="N46" s="0" t="n">
        <f aca="false">SUM(I46:K46)*Calc!$C$79</f>
        <v>0.0368509315453272</v>
      </c>
    </row>
    <row r="47" customFormat="false" ht="15" hidden="false" customHeight="false" outlineLevel="0" collapsed="false">
      <c r="A47" s="0" t="s">
        <v>81</v>
      </c>
      <c r="B47" s="0" t="s">
        <v>82</v>
      </c>
      <c r="C47" s="0" t="n">
        <f aca="false">PAR!F22</f>
        <v>0.15</v>
      </c>
      <c r="D47" s="0" t="n">
        <f aca="false">PAR!E22</f>
        <v>0.3</v>
      </c>
      <c r="E47" s="0" t="n">
        <f aca="false">PAR!D22</f>
        <v>1.5</v>
      </c>
      <c r="F47" s="0" t="n">
        <f aca="false">B29*(C29+C$34)*(D29+D$34)*(1-(E29+E$34))</f>
        <v>0.00134699136679337</v>
      </c>
      <c r="G47" s="0" t="n">
        <f aca="false">B29*(C29+C$34)*(D29+D$34)*(E29+E$34)*(1-(F29+F$34))</f>
        <v>0.000183386172023663</v>
      </c>
      <c r="H47" s="0" t="n">
        <f aca="false">B29*(C29+C$34)*(D29+D$34)*(E29+E$34)*(F29+F$34)*1</f>
        <v>1.91027262524649E-005</v>
      </c>
      <c r="I47" s="0" t="n">
        <f aca="false">C47*B29*((C29*D29)+Calc!$C$80*(C$34*(D29+D$34)+D$34*(C29+C$34)))*(1-(E29+E$34))</f>
        <v>0.000395406047973762</v>
      </c>
      <c r="J47" s="0" t="n">
        <f aca="false">D47*B29*((C29*D29*E29)+Calc!$C$80*(C$34*(D29+D$34)*(E29+E$34)+D$34*(C29+C$34)*(E29+E$34)+E$34*(C29+C$34)*(D29+D$34)))*(1-(F29+F$34))</f>
        <v>0.000139098402269023</v>
      </c>
      <c r="K47" s="0" t="n">
        <f aca="false">E47*B29*((C29*D29*E29*F29)+Calc!$C$80*(C$34*(D29+D$34)*(E29+E$34)*(F29+F$34)+D$34*(C29+C$34)*(E29+E$34)*(F29+F$34)+E$34*(C29+C$34)*(D29+D$34)*(F29+F$34)+F$34*(C29+C$34)*(D29+D$34)*(E29+E$34)))*1</f>
        <v>7.24470845151163E-005</v>
      </c>
      <c r="L47" s="0" t="n">
        <f aca="false">C47*B29*(C29*D29)*(1-(E29+E$34))+D47*B29*(C29*D29*E29)*(1-(F29+F$34))+E47*B29*(C29*D29*E29*F29)*1</f>
        <v>0.000137932733164093</v>
      </c>
      <c r="M47" s="0" t="n">
        <f aca="false">SUM(I47:K47)-L47</f>
        <v>0.000469018801593809</v>
      </c>
      <c r="N47" s="0" t="n">
        <f aca="false">SUM(I47:K47)*Calc!$C$79</f>
        <v>0.0242780613903161</v>
      </c>
    </row>
    <row r="48" customFormat="false" ht="15" hidden="false" customHeight="false" outlineLevel="0" collapsed="false">
      <c r="A48" s="0" t="s">
        <v>83</v>
      </c>
      <c r="B48" s="0" t="s">
        <v>84</v>
      </c>
      <c r="C48" s="0" t="n">
        <f aca="false">PAR!F23</f>
        <v>0.15</v>
      </c>
      <c r="D48" s="0" t="n">
        <f aca="false">PAR!E23</f>
        <v>0.3</v>
      </c>
      <c r="E48" s="0" t="n">
        <f aca="false">PAR!D23</f>
        <v>1.5</v>
      </c>
      <c r="F48" s="0" t="n">
        <f aca="false">B30*(C30+C$34)*(D30+D$34)*(1-(E30+E$34))</f>
        <v>0.00147679489368593</v>
      </c>
      <c r="G48" s="0" t="n">
        <f aca="false">B30*(C30+C$34)*(D30+D$34)*(E30+E$34)*(1-(F30+F$34))</f>
        <v>0.00020692566410104</v>
      </c>
      <c r="H48" s="0" t="n">
        <f aca="false">B30*(C30+C$34)*(D30+D$34)*(E30+E$34)*(F30+F$34)*1</f>
        <v>2.25107417013684E-005</v>
      </c>
      <c r="I48" s="0" t="n">
        <f aca="false">C48*B30*((C30*D30)+Calc!$C$80*(C$34*(D30+D$34)+D$34*(C30+C$34)))*(1-(E30+E$34))</f>
        <v>0.000427078185263483</v>
      </c>
      <c r="J48" s="0" t="n">
        <f aca="false">D48*B30*((C30*D30*E30)+Calc!$C$80*(C$34*(D30+D$34)*(E30+E$34)+D$34*(C30+C$34)*(E30+E$34)+E$34*(C30+C$34)*(D30+D$34)))*(1-(F30+F$34))</f>
        <v>0.000153963954108983</v>
      </c>
      <c r="K48" s="0" t="n">
        <f aca="false">E48*B30*((C30*D30*E30*F30)+Calc!$C$80*(C$34*(D30+D$34)*(E30+E$34)*(F30+F$34)+D$34*(C30+C$34)*(E30+E$34)*(F30+F$34)+E$34*(C30+C$34)*(D30+D$34)*(F30+F$34)+F$34*(C30+C$34)*(D30+D$34)*(E30+E$34)))*1</f>
        <v>8.37460838249699E-005</v>
      </c>
      <c r="L48" s="0" t="n">
        <f aca="false">C48*B30*(C30*D30)*(1-(E30+E$34))+D48*B30*(C30*D30*E30)*(1-(F30+F$34))+E48*B30*(C30*D30*E30*F30)*1</f>
        <v>0.000156476205865438</v>
      </c>
      <c r="M48" s="0" t="n">
        <f aca="false">SUM(I48:K48)-L48</f>
        <v>0.000508312017331999</v>
      </c>
      <c r="N48" s="0" t="n">
        <f aca="false">SUM(I48:K48)*Calc!$C$79</f>
        <v>0.0265915289278974</v>
      </c>
    </row>
    <row r="49" customFormat="false" ht="15" hidden="false" customHeight="false" outlineLevel="0" collapsed="false">
      <c r="A49" s="0" t="s">
        <v>89</v>
      </c>
      <c r="B49" s="0" t="s">
        <v>90</v>
      </c>
      <c r="C49" s="0" t="n">
        <f aca="false">PAR!F24</f>
        <v>0.1</v>
      </c>
      <c r="D49" s="0" t="n">
        <f aca="false">PAR!E24</f>
        <v>0.25</v>
      </c>
      <c r="E49" s="0" t="n">
        <f aca="false">PAR!D24</f>
        <v>1</v>
      </c>
      <c r="F49" s="0" t="n">
        <f aca="false">B31*(C31+C$34)*(D31+D$34)*(1-(E31+E$34))</f>
        <v>0.00161411627913417</v>
      </c>
      <c r="G49" s="0" t="n">
        <f aca="false">B31*(C31+C$34)*(D31+D$34)*(E31+E$34)*(1-(F31+F$34))</f>
        <v>0.000232582676621829</v>
      </c>
      <c r="H49" s="0" t="n">
        <f aca="false">B31*(C31+C$34)*(D31+D$34)*(E31+E$34)*(F31+F$34)*1</f>
        <v>2.63854297007958E-005</v>
      </c>
      <c r="I49" s="0" t="n">
        <f aca="false">C49*B31*((C31*D31)+Calc!$C$80*(C$34*(D31+D$34)+D$34*(C31+C$34)))*(1-(E31+E$34))</f>
        <v>0.000306782047693423</v>
      </c>
      <c r="J49" s="0" t="n">
        <f aca="false">D49*B31*((C31*D31*E31)+Calc!$C$80*(C$34*(D31+D$34)*(E31+E$34)+D$34*(C31+C$34)*(E31+E$34)+E$34*(C31+C$34)*(D31+D$34)))*(1-(F31+F$34))</f>
        <v>0.000141579533541302</v>
      </c>
      <c r="K49" s="0" t="n">
        <f aca="false">E49*B31*((C31*D31*E31*F31)+Calc!$C$80*(C$34*(D31+D$34)*(E31+E$34)*(F31+F$34)+D$34*(C31+C$34)*(E31+E$34)*(F31+F$34)+E$34*(C31+C$34)*(D31+D$34)*(F31+F$34)+F$34*(C31+C$34)*(D31+D$34)*(E31+E$34)))*1</f>
        <v>6.42461748842884E-005</v>
      </c>
      <c r="L49" s="0" t="n">
        <f aca="false">C49*B31*(C31*D31)*(1-(E31+E$34))+D49*B31*(C31*D31*E31)*(1-(F31+F$34))+E49*B31*(C31*D31*E31*F31)*1</f>
        <v>0.000122539568607476</v>
      </c>
      <c r="M49" s="0" t="n">
        <f aca="false">SUM(I49:K49)-L49</f>
        <v>0.000390068187511538</v>
      </c>
      <c r="N49" s="0" t="n">
        <f aca="false">SUM(I49:K49)*Calc!$C$79</f>
        <v>0.0205043102447606</v>
      </c>
    </row>
    <row r="50" customFormat="false" ht="15" hidden="false" customHeight="false" outlineLevel="0" collapsed="false">
      <c r="A50" s="0" t="s">
        <v>93</v>
      </c>
      <c r="B50" s="0" t="s">
        <v>94</v>
      </c>
      <c r="C50" s="0" t="n">
        <f aca="false">PAR!F25</f>
        <v>0.1</v>
      </c>
      <c r="D50" s="0" t="n">
        <f aca="false">PAR!E25</f>
        <v>0.25</v>
      </c>
      <c r="E50" s="0" t="n">
        <f aca="false">PAR!D25</f>
        <v>1</v>
      </c>
      <c r="F50" s="0" t="n">
        <f aca="false">B32*(C32+C$34)*(D32+D$34)*(1-(E32+E$34))</f>
        <v>0.00175910878176927</v>
      </c>
      <c r="G50" s="0" t="n">
        <f aca="false">B32*(C32+C$34)*(D32+D$34)*(E32+E$34)*(1-(F32+F$34))</f>
        <v>0.000260470311932599</v>
      </c>
      <c r="H50" s="0" t="n">
        <f aca="false">B32*(C32+C$34)*(D32+D$34)*(E32+E$34)*(F32+F$34)*1</f>
        <v>3.07728638570159E-005</v>
      </c>
      <c r="I50" s="0" t="n">
        <f aca="false">C50*B32*((C32*D32)+Calc!$C$80*(C$34*(D32+D$34)+D$34*(C32+C$34)))*(1-(E32+E$34))</f>
        <v>0.000329805532667355</v>
      </c>
      <c r="J50" s="0" t="n">
        <f aca="false">D50*B32*((C32*D32*E32)+Calc!$C$80*(C$34*(D32+D$34)*(E32+E$34)+D$34*(C32+C$34)*(E32+E$34)+E$34*(C32+C$34)*(D32+D$34)))*(1-(F32+F$34))</f>
        <v>0.000155779151457877</v>
      </c>
      <c r="K50" s="0" t="n">
        <f aca="false">E50*B32*((C32*D32*E32*F32)+Calc!$C$80*(C$34*(D32+D$34)*(E32+E$34)*(F32+F$34)+D$34*(C32+C$34)*(E32+E$34)*(F32+F$34)+E$34*(C32+C$34)*(D32+D$34)*(F32+F$34)+F$34*(C32+C$34)*(D32+D$34)*(E32+E$34)))*1</f>
        <v>7.3617151743807E-005</v>
      </c>
      <c r="L50" s="0" t="n">
        <f aca="false">C50*B32*(C32*D32)*(1-(E32+E$34))+D50*B32*(C32*D32*E32)*(1-(F32+F$34))+E50*B32*(C32*D32*E32*F32)*1</f>
        <v>0.000137989059274467</v>
      </c>
      <c r="M50" s="0" t="n">
        <f aca="false">SUM(I50:K50)-L50</f>
        <v>0.000421212776594572</v>
      </c>
      <c r="N50" s="0" t="n">
        <f aca="false">SUM(I50:K50)*Calc!$C$79</f>
        <v>0.0223680734347616</v>
      </c>
    </row>
    <row r="51" customFormat="false" ht="15" hidden="false" customHeight="false" outlineLevel="0" collapsed="false">
      <c r="A51" s="0" t="s">
        <v>96</v>
      </c>
      <c r="B51" s="0" t="s">
        <v>97</v>
      </c>
      <c r="C51" s="0" t="n">
        <f aca="false">PAR!F26</f>
        <v>0.1</v>
      </c>
      <c r="D51" s="0" t="n">
        <f aca="false">PAR!E26</f>
        <v>0.25</v>
      </c>
      <c r="E51" s="0" t="n">
        <f aca="false">PAR!D26</f>
        <v>1</v>
      </c>
      <c r="F51" s="0" t="n">
        <f aca="false">B33*(C33+C$34)*(D33+D$34)*(1-(E33+E$34))</f>
        <v>0.00185455473645622</v>
      </c>
      <c r="G51" s="0" t="n">
        <f aca="false">B33*(C33+C$34)*(D33+D$34)*(E33+E$34)*(1-(F33+F$34))</f>
        <v>0.000282578496659298</v>
      </c>
      <c r="H51" s="0" t="n">
        <f aca="false">B33*(C33+C$34)*(D33+D$34)*(E33+E$34)*(F33+F$34)*1</f>
        <v>3.40527998088372E-005</v>
      </c>
      <c r="I51" s="0" t="n">
        <f aca="false">C51*B33*((C33*D33)+Calc!$C$80*(C$34*(D33+D$34)+D$34*(C33+C$34)))*(1-(E33+E$34))</f>
        <v>0.000344296882566775</v>
      </c>
      <c r="J51" s="0" t="n">
        <f aca="false">D51*B33*((C33*D33*E33)+Calc!$C$80*(C$34*(D33+D$34)*(E33+E$34)+D$34*(C33+C$34)*(E33+E$34)+E$34*(C33+C$34)*(D33+D$34)))*(1-(F33+F$34))</f>
        <v>0.00016662611138502</v>
      </c>
      <c r="K51" s="0" t="n">
        <f aca="false">E51*B33*((C33*D33*E33*F33)+Calc!$C$80*(C$34*(D33+D$34)*(E33+E$34)*(F33+F$34)+D$34*(C33+C$34)*(E33+E$34)*(F33+F$34)+E$34*(C33+C$34)*(D33+D$34)*(F33+F$34)+F$34*(C33+C$34)*(D33+D$34)*(E33+E$34)))*1</f>
        <v>8.03187175386563E-005</v>
      </c>
      <c r="L51" s="0" t="n">
        <f aca="false">C51*B33*(C33*D33)*(1-(E33+E$34))+D51*B33*(C33*D33*E33)*(1-(F33+F$34))+E51*B33*(C33*D33*E33*F33)*1</f>
        <v>0.000149322771067897</v>
      </c>
      <c r="M51" s="0" t="n">
        <f aca="false">SUM(I51:K51)-L51</f>
        <v>0.000441918940422554</v>
      </c>
      <c r="N51" s="0" t="n">
        <f aca="false">SUM(I51:K51)*Calc!$C$79</f>
        <v>0.023649668459618</v>
      </c>
    </row>
    <row r="52" customFormat="false" ht="15" hidden="false" customHeight="false" outlineLevel="0" collapsed="false">
      <c r="A52" s="0" t="s">
        <v>190</v>
      </c>
      <c r="F52" s="0" t="n">
        <f aca="false">SUM(F41:F51)</f>
        <v>0.0129854698904109</v>
      </c>
      <c r="G52" s="0" t="n">
        <f aca="false">SUM(G41:G51)</f>
        <v>0.00175470907512513</v>
      </c>
      <c r="H52" s="0" t="n">
        <f aca="false">SUM(H41:H51)</f>
        <v>0.000183545338021259</v>
      </c>
      <c r="I52" s="0" t="n">
        <f aca="false">SUM(I41:I51)</f>
        <v>0.00862795444696073</v>
      </c>
      <c r="J52" s="0" t="n">
        <f aca="false">SUM(J41:J51)</f>
        <v>0.00354420987279501</v>
      </c>
      <c r="K52" s="0" t="n">
        <f aca="false">SUM(K41:K51)</f>
        <v>0.00122094130160601</v>
      </c>
      <c r="L52" s="0" t="n">
        <f aca="false">SUM(L41:L51)</f>
        <v>0.00245640193768401</v>
      </c>
      <c r="M52" s="0" t="n">
        <f aca="false">SUM(M41:M51)</f>
        <v>0.0109367036836777</v>
      </c>
      <c r="N52" s="0" t="n">
        <f aca="false">SUM(N41:N51)</f>
        <v>0.53572422485447</v>
      </c>
    </row>
    <row r="55" customFormat="false" ht="15" hidden="false" customHeight="false" outlineLevel="0" collapsed="false">
      <c r="A55" s="56" t="s">
        <v>191</v>
      </c>
    </row>
    <row r="56" customFormat="false" ht="15" hidden="false" customHeight="false" outlineLevel="0" collapsed="false">
      <c r="A56" s="56" t="s">
        <v>54</v>
      </c>
      <c r="B56" s="56" t="s">
        <v>58</v>
      </c>
      <c r="C56" s="56" t="s">
        <v>178</v>
      </c>
      <c r="D56" s="56" t="s">
        <v>179</v>
      </c>
      <c r="E56" s="56" t="s">
        <v>180</v>
      </c>
      <c r="F56" s="56" t="s">
        <v>181</v>
      </c>
      <c r="G56" s="56" t="s">
        <v>182</v>
      </c>
      <c r="H56" s="56" t="s">
        <v>183</v>
      </c>
      <c r="I56" s="56" t="s">
        <v>184</v>
      </c>
      <c r="J56" s="56" t="s">
        <v>185</v>
      </c>
      <c r="K56" s="56" t="s">
        <v>186</v>
      </c>
      <c r="L56" s="56" t="s">
        <v>187</v>
      </c>
      <c r="M56" s="56" t="s">
        <v>188</v>
      </c>
      <c r="N56" s="56" t="s">
        <v>189</v>
      </c>
    </row>
    <row r="57" customFormat="false" ht="15" hidden="false" customHeight="false" outlineLevel="0" collapsed="false">
      <c r="A57" s="0" t="s">
        <v>63</v>
      </c>
      <c r="B57" s="0" t="s">
        <v>64</v>
      </c>
      <c r="C57" s="0" t="n">
        <f aca="false">PAR!F16</f>
        <v>1.5</v>
      </c>
      <c r="D57" s="0" t="n">
        <f aca="false">PAR!E16</f>
        <v>5</v>
      </c>
      <c r="E57" s="0" t="n">
        <f aca="false">PAR!D16</f>
        <v>20</v>
      </c>
      <c r="F57" s="0" t="n">
        <f aca="false">G23*(H23+H$34)*(I23+I$34)*(1-(J23+J$34))</f>
        <v>0.000577934517726385</v>
      </c>
      <c r="G57" s="0" t="n">
        <f aca="false">G23*(H23+H$34)*(I23+I$34)*(J23+J$34)*(1-(K23+K$34))</f>
        <v>5.97755486217737E-005</v>
      </c>
      <c r="H57" s="0" t="n">
        <f aca="false">G23*(H23+H$34)*(I23+I$34)*(J23+J$34)*(K23+K$34)*1</f>
        <v>4.13720980914424E-006</v>
      </c>
      <c r="I57" s="0" t="n">
        <f aca="false">C57*G23*((H23*I23)+Calc!$C$80*(H$34*(I23+I$34)+I$34*(H23+H$34)))*(1-(J23+J$34))</f>
        <v>0.00205646839732218</v>
      </c>
      <c r="J57" s="0" t="n">
        <f aca="false">D57*G23*((H23*I23*J23)+Calc!$C$80*(H$34*(I23+I$34)*(J23+J$34)+I$34*(H23+H$34)*(J23+J$34)+J$34*(H23+H$34)*(I23+I$34)))*(1-(K23+K$34))</f>
        <v>0.000963026964009341</v>
      </c>
      <c r="K57" s="0" t="n">
        <f aca="false">E57*G23*((H23*I23*J23*K23)+Calc!$C$80*(H$34*(I23+I$34)*(J23+J$34)*(K23+K$34)+I$34*(H23+H$34)*(J23+J$34)*(K23+K$34)+J$34*(H23+H$34)*(I23+I$34)*(K23+K$34)+K$34*(H23+H$34)*(I23+I$34)*(J23+J$34)))*1</f>
        <v>0.00026661367022693</v>
      </c>
      <c r="L57" s="0" t="n">
        <f aca="false">C57*G23*(H23*I23)*(1-(J23+J$34))+D57*G23*(H23*I23*J23)*(1-(K23+K$34))+E57*G23*(H23*I23*J23*K23)*1</f>
        <v>0.000419689317402144</v>
      </c>
      <c r="M57" s="0" t="n">
        <f aca="false">SUM(I57:K57)-L57</f>
        <v>0.00286641971415631</v>
      </c>
      <c r="N57" s="0" t="n">
        <f aca="false">SUM(I57:K57)*Calc!$C$79</f>
        <v>0.131444361262338</v>
      </c>
    </row>
    <row r="58" customFormat="false" ht="15" hidden="false" customHeight="false" outlineLevel="0" collapsed="false">
      <c r="A58" s="0" t="s">
        <v>66</v>
      </c>
      <c r="B58" s="0" t="s">
        <v>67</v>
      </c>
      <c r="C58" s="0" t="n">
        <f aca="false">PAR!F17</f>
        <v>1.25</v>
      </c>
      <c r="D58" s="0" t="n">
        <f aca="false">PAR!E17</f>
        <v>3.75</v>
      </c>
      <c r="E58" s="0" t="n">
        <f aca="false">PAR!D17</f>
        <v>12.5</v>
      </c>
      <c r="F58" s="0" t="n">
        <f aca="false">G24*(H24+H$34)*(I24+I$34)*(1-(J24+J$34))</f>
        <v>0.000716635681558763</v>
      </c>
      <c r="G58" s="0" t="n">
        <f aca="false">G24*(H24+H$34)*(I24+I$34)*(J24+J$34)*(1-(K24+K$34))</f>
        <v>7.88444808756256E-005</v>
      </c>
      <c r="H58" s="0" t="n">
        <f aca="false">G24*(H24+H$34)*(I24+I$34)*(J24+J$34)*(K24+K$34)*1</f>
        <v>6.06496006735581E-006</v>
      </c>
      <c r="I58" s="0" t="n">
        <f aca="false">C58*G24*((H24*I24)+Calc!$C$80*(H$34*(I24+I$34)+I$34*(H24+H$34)))*(1-(J24+J$34))</f>
        <v>0.00204384496380559</v>
      </c>
      <c r="J58" s="0" t="n">
        <f aca="false">D58*G24*((H24*I24*J24)+Calc!$C$80*(H$34*(I24+I$34)*(J24+J$34)+I$34*(H24+H$34)*(J24+J$34)+J$34*(H24+H$34)*(I24+I$34)))*(1-(K24+K$34))</f>
        <v>0.000907739662100312</v>
      </c>
      <c r="K58" s="0" t="n">
        <f aca="false">E58*G24*((H24*I24*J24*K24)+Calc!$C$80*(H$34*(I24+I$34)*(J24+J$34)*(K24+K$34)+I$34*(H24+H$34)*(J24+J$34)*(K24+K$34)+J$34*(H24+H$34)*(I24+I$34)*(K24+K$34)+K$34*(H24+H$34)*(I24+I$34)*(J24+J$34)))*1</f>
        <v>0.0002327537595129</v>
      </c>
      <c r="L58" s="0" t="n">
        <f aca="false">C58*G24*(H24*I24)*(1-(J24+J$34))+D58*G24*(H24*I24*J24)*(1-(K24+K$34))+E58*G24*(H24*I24*J24*K24)*1</f>
        <v>0.000464298408586773</v>
      </c>
      <c r="M58" s="0" t="n">
        <f aca="false">SUM(I58:K58)-L58</f>
        <v>0.00272003997683203</v>
      </c>
      <c r="N58" s="0" t="n">
        <f aca="false">SUM(I58:K58)*Calc!$C$79</f>
        <v>0.127373535416752</v>
      </c>
    </row>
    <row r="59" customFormat="false" ht="15" hidden="false" customHeight="false" outlineLevel="0" collapsed="false">
      <c r="A59" s="0" t="s">
        <v>69</v>
      </c>
      <c r="B59" s="0" t="s">
        <v>70</v>
      </c>
      <c r="C59" s="0" t="n">
        <f aca="false">PAR!F18</f>
        <v>0.75</v>
      </c>
      <c r="D59" s="0" t="n">
        <f aca="false">PAR!E18</f>
        <v>2</v>
      </c>
      <c r="E59" s="0" t="n">
        <f aca="false">PAR!D18</f>
        <v>7.5</v>
      </c>
      <c r="F59" s="0" t="n">
        <f aca="false">G25*(H25+H$34)*(I25+I$34)*(1-(J25+J$34))</f>
        <v>0.000819654608066063</v>
      </c>
      <c r="G59" s="0" t="n">
        <f aca="false">G25*(H25+H$34)*(I25+I$34)*(J25+J$34)*(1-(K25+K$34))</f>
        <v>9.37793601320483E-005</v>
      </c>
      <c r="H59" s="0" t="n">
        <f aca="false">G25*(H25+H$34)*(I25+I$34)*(J25+J$34)*(K25+K$34)*1</f>
        <v>7.70168658089286E-006</v>
      </c>
      <c r="I59" s="0" t="n">
        <f aca="false">C59*G25*((H25*I25)+Calc!$C$80*(H$34*(I25+I$34)+I$34*(H25+H$34)))*(1-(J25+J$34))</f>
        <v>0.00136934457340149</v>
      </c>
      <c r="J59" s="0" t="n">
        <f aca="false">D59*G25*((H25*I25*J25)+Calc!$C$80*(H$34*(I25+I$34)*(J25+J$34)+I$34*(H25+H$34)*(J25+J$34)+J$34*(H25+H$34)*(I25+I$34)))*(1-(K25+K$34))</f>
        <v>0.000558836628045873</v>
      </c>
      <c r="K59" s="0" t="n">
        <f aca="false">E59*G25*((H25*I25*J25*K25)+Calc!$C$80*(H$34*(I25+I$34)*(J25+J$34)*(K25+K$34)+I$34*(H25+H$34)*(J25+J$34)*(K25+K$34)+J$34*(H25+H$34)*(I25+I$34)*(K25+K$34)+K$34*(H25+H$34)*(I25+I$34)*(J25+J$34)))*1</f>
        <v>0.000172105483274997</v>
      </c>
      <c r="L59" s="0" t="n">
        <f aca="false">C59*G25*(H25*I25)*(1-(J25+J$34))+D59*G25*(H25*I25*J25)*(1-(K25+K$34))+E59*G25*(H25*I25*J25*K25)*1</f>
        <v>0.000331385265857035</v>
      </c>
      <c r="M59" s="0" t="n">
        <f aca="false">SUM(I59:K59)-L59</f>
        <v>0.00176890141886533</v>
      </c>
      <c r="N59" s="0" t="n">
        <f aca="false">SUM(I59:K59)*Calc!$C$79</f>
        <v>0.0840114673888945</v>
      </c>
    </row>
    <row r="60" customFormat="false" ht="15" hidden="false" customHeight="false" outlineLevel="0" collapsed="false">
      <c r="A60" s="0" t="s">
        <v>72</v>
      </c>
      <c r="B60" s="0" t="s">
        <v>73</v>
      </c>
      <c r="C60" s="0" t="n">
        <f aca="false">PAR!F19</f>
        <v>0.5</v>
      </c>
      <c r="D60" s="0" t="n">
        <f aca="false">PAR!E19</f>
        <v>1.25</v>
      </c>
      <c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alse">C60*G26*((H26*I26)+Calc!$C$80*(H$34*(I26+I$34)+I$34*(H26+H$34)))*(1-(J26+J$34))</f>
        <v>0.00101425196679067</v>
      </c>
      <c r="J60" s="0" t="n">
        <f aca="false">D60*G26*((H26*I26*J26)+Calc!$C$80*(H$34*(I26+I$34)*(J26+J$34)+I$34*(H26+H$34)*(J26+J$34)+J$34*(H26+H$34)*(I26+I$34)))*(1-(K26+K$34))</f>
        <v>0.000400637847874096</v>
      </c>
      <c r="K60" s="0" t="n">
        <f aca="false">E60*G26*((H26*I26*J26*K26)+Calc!$C$80*(H$34*(I26+I$34)*(J26+J$34)*(K26+K$34)+I$34*(H26+H$34)*(J26+J$34)*(K26+K$34)+J$34*(H26+H$34)*(I26+I$34)*(K26+K$34)+K$34*(H26+H$34)*(I26+I$34)*(J26+J$34)))*1</f>
        <v>0.000140028762363762</v>
      </c>
      <c r="L60" s="0" t="n">
        <f aca="false">C60*G26*(H26*I26)*(1-(J26+J$34))+D60*G26*(H26*I26*J26)*(1-(K26+K$34))+E60*G26*(H26*I26*J26*K26)*1</f>
        <v>0.000262301359476888</v>
      </c>
      <c r="M60" s="0" t="n">
        <f aca="false">SUM(I60:K60)-L60</f>
        <v>0.00129261721755163</v>
      </c>
      <c r="N60" s="0" t="n">
        <f aca="false">SUM(I60:K60)*Calc!$C$79</f>
        <v>0.0621967430811409</v>
      </c>
    </row>
    <row r="61" customFormat="false" ht="15" hidden="false" customHeight="false" outlineLevel="0" collapsed="false">
      <c r="A61" s="0" t="s">
        <v>75</v>
      </c>
      <c r="B61" s="0" t="s">
        <v>76</v>
      </c>
      <c r="C61" s="0" t="n">
        <f aca="false">PAR!F20</f>
        <v>0.35</v>
      </c>
      <c r="D61" s="0" t="n">
        <f aca="false">PAR!E20</f>
        <v>0.75</v>
      </c>
      <c r="E61" s="0" t="n">
        <f aca="false">PAR!D20</f>
        <v>3.75</v>
      </c>
      <c r="F61" s="0" t="n">
        <f aca="false">G27*(H27+H$34)*(I27+I$34)*(1-(J27+J$34))</f>
        <v>0.00105232277886249</v>
      </c>
      <c r="G61" s="0" t="n">
        <f aca="false">G27*(H27+H$34)*(I27+I$34)*(J27+J$34)*(1-(K27+K$34))</f>
        <v>0.000129643130809382</v>
      </c>
      <c r="H61" s="0" t="n">
        <f aca="false">G27*(H27+H$34)*(I27+I$34)*(J27+J$34)*(K27+K$34)*1</f>
        <v>1.20157048067232E-005</v>
      </c>
      <c r="I61" s="0" t="n">
        <f aca="false">C61*G27*((H27*I27)+Calc!$C$80*(H$34*(I27+I$34)+I$34*(H27+H$34)))*(1-(J27+J$34))</f>
        <v>0.000785201916335165</v>
      </c>
      <c r="J61" s="0" t="n">
        <f aca="false">D61*G27*((H27*I27*J27)+Calc!$C$80*(H$34*(I27+I$34)*(J27+J$34)+I$34*(H27+H$34)*(J27+J$34)+J$34*(H27+H$34)*(I27+I$34)))*(1-(K27+K$34))</f>
        <v>0.000274156066507083</v>
      </c>
      <c r="K61" s="0" t="n">
        <f aca="false">E61*G27*((H27*I27*J27*K27)+Calc!$C$80*(H$34*(I27+I$34)*(J27+J$34)*(K27+K$34)+I$34*(H27+H$34)*(J27+J$34)*(K27+K$34)+J$34*(H27+H$34)*(I27+I$34)*(K27+K$34)+K$34*(H27+H$34)*(I27+I$34)*(J27+J$34)))*1</f>
        <v>0.00012704793325938</v>
      </c>
      <c r="L61" s="0" t="n">
        <f aca="false">C61*G27*(H27*I27)*(1-(J27+J$34))+D61*G27*(H27*I27*J27)*(1-(K27+K$34))+E61*G27*(H27*I27*J27*K27)*1</f>
        <v>0.000214052621628363</v>
      </c>
      <c r="M61" s="0" t="n">
        <f aca="false">SUM(I61:K61)-L61</f>
        <v>0.000972353294473266</v>
      </c>
      <c r="N61" s="0" t="n">
        <f aca="false">SUM(I61:K61)*Calc!$C$79</f>
        <v>0.0474562366440652</v>
      </c>
    </row>
    <row r="62" customFormat="false" ht="15" hidden="false" customHeight="false" outlineLevel="0" collapsed="false">
      <c r="A62" s="0" t="s">
        <v>78</v>
      </c>
      <c r="B62" s="0" t="s">
        <v>79</v>
      </c>
      <c r="C62" s="0" t="n">
        <f aca="false">PAR!F21</f>
        <v>0.25</v>
      </c>
      <c r="D62" s="0" t="n">
        <f aca="false">PAR!E21</f>
        <v>0.5</v>
      </c>
      <c r="E62" s="0" t="n">
        <f aca="false">PAR!D21</f>
        <v>2.5</v>
      </c>
      <c r="F62" s="0" t="n">
        <f aca="false">G28*(H28+H$34)*(I28+I$34)*(1-(J28+J$34))</f>
        <v>0.00118253038763526</v>
      </c>
      <c r="G62" s="0" t="n">
        <f aca="false">G28*(H28+H$34)*(I28+I$34)*(J28+J$34)*(1-(K28+K$34))</f>
        <v>0.000150876677304396</v>
      </c>
      <c r="H62" s="0" t="n">
        <f aca="false">G28*(H28+H$34)*(I28+I$34)*(J28+J$34)*(K28+K$34)*1</f>
        <v>1.47918311082741E-005</v>
      </c>
      <c r="I62" s="0" t="n">
        <f aca="false">C62*G28*((H28*I28)+Calc!$C$80*(H$34*(I28+I$34)+I$34*(H28+H$34)))*(1-(J28+J$34))</f>
        <v>0.000617699880247529</v>
      </c>
      <c r="J62" s="0" t="n">
        <f aca="false">D62*G28*((H28*I28*J28)+Calc!$C$80*(H$34*(I28+I$34)*(J28+J$34)+I$34*(H28+H$34)*(J28+J$34)+J$34*(H28+H$34)*(I28+I$34)))*(1-(K28+K$34))</f>
        <v>0.00020735784305358</v>
      </c>
      <c r="K62" s="0" t="n">
        <f aca="false">E62*G28*((H28*I28*J28*K28)+Calc!$C$80*(H$34*(I28+I$34)*(J28+J$34)*(K28+K$34)+I$34*(H28+H$34)*(J28+J$34)*(K28+K$34)+J$34*(H28+H$34)*(I28+I$34)*(K28+K$34)+K$34*(H28+H$34)*(I28+I$34)*(J28+J$34)))*1</f>
        <v>0.000101646001496853</v>
      </c>
      <c r="L62" s="0" t="n">
        <f aca="false">C62*G28*(H28*I28)*(1-(J28+J$34))+D62*G28*(H28*I28*J28)*(1-(K28+K$34))+E62*G28*(H28*I28*J28*K28)*1</f>
        <v>0.0001774849914111</v>
      </c>
      <c r="M62" s="0" t="n">
        <f aca="false">SUM(I62:K62)-L62</f>
        <v>0.000749218733386862</v>
      </c>
      <c r="N62" s="0" t="n">
        <f aca="false">SUM(I62:K62)*Calc!$C$79</f>
        <v>0.0370681489919185</v>
      </c>
    </row>
    <row r="63" customFormat="false" ht="15" hidden="false" customHeight="false" outlineLevel="0" collapsed="false">
      <c r="A63" s="0" t="s">
        <v>81</v>
      </c>
      <c r="B63" s="0" t="s">
        <v>82</v>
      </c>
      <c r="C63" s="0" t="n">
        <f aca="false">PAR!F22</f>
        <v>0.15</v>
      </c>
      <c r="D63" s="0" t="n">
        <f aca="false">PAR!E22</f>
        <v>0.3</v>
      </c>
      <c r="E63" s="0" t="n">
        <f aca="false">PAR!D22</f>
        <v>1.5</v>
      </c>
      <c r="F63" s="0" t="n">
        <f aca="false">G29*(H29+H$34)*(I29+I$34)*(1-(J29+J$34))</f>
        <v>0.00147202742834154</v>
      </c>
      <c r="G63" s="0" t="n">
        <f aca="false">G29*(H29+H$34)*(I29+I$34)*(J29+J$34)*(1-(K29+K$34))</f>
        <v>0.000200736841382289</v>
      </c>
      <c r="H63" s="0" t="n">
        <f aca="false">G29*(H29+H$34)*(I29+I$34)*(J29+J$34)*(K29+K$34)*1</f>
        <v>2.18624282693582E-005</v>
      </c>
      <c r="I63" s="0" t="n">
        <f aca="false">C63*G29*((H29*I29)+Calc!$C$80*(H$34*(I29+I$34)+I$34*(H29+H$34)))*(1-(J29+J$34))</f>
        <v>0.000444549219826516</v>
      </c>
      <c r="J63" s="0" t="n">
        <f aca="false">D63*G29*((H29*I29*J29)+Calc!$C$80*(H$34*(I29+I$34)*(J29+J$34)+I$34*(H29+H$34)*(J29+J$34)+J$34*(H29+H$34)*(I29+I$34)))*(1-(K29+K$34))</f>
        <v>0.000157895956776264</v>
      </c>
      <c r="K63" s="0" t="n">
        <f aca="false">E63*G29*((H29*I29*J29*K29)+Calc!$C$80*(H$34*(I29+I$34)*(J29+J$34)*(K29+K$34)+I$34*(H29+H$34)*(J29+J$34)*(K29+K$34)+J$34*(H29+H$34)*(I29+I$34)*(K29+K$34)+K$34*(H29+H$34)*(I29+I$34)*(J29+J$34)))*1</f>
        <v>8.59829467593515E-005</v>
      </c>
      <c r="L63" s="0" t="n">
        <f aca="false">C63*G29*(H29*I29)*(1-(J29+J$34))+D63*G29*(H29*I29*J29)*(1-(K29+K$34))+E63*G29*(H29*I29*J29*K29)*1</f>
        <v>0.000144451861322387</v>
      </c>
      <c r="M63" s="0" t="n">
        <f aca="false">SUM(I63:K63)-L63</f>
        <v>0.000543976262039744</v>
      </c>
      <c r="N63" s="0" t="n">
        <f aca="false">SUM(I63:K63)*Calc!$C$79</f>
        <v>0.0275371249344852</v>
      </c>
    </row>
    <row r="64" customFormat="false" ht="15" hidden="false" customHeight="false" outlineLevel="0" collapsed="false">
      <c r="A64" s="0" t="s">
        <v>83</v>
      </c>
      <c r="B64" s="0" t="s">
        <v>84</v>
      </c>
      <c r="C64" s="0" t="n">
        <f aca="false">PAR!F23</f>
        <v>0.15</v>
      </c>
      <c r="D64" s="0" t="n">
        <f aca="false">PAR!E23</f>
        <v>0.3</v>
      </c>
      <c r="E64" s="0" t="n">
        <f aca="false">PAR!D23</f>
        <v>1.5</v>
      </c>
      <c r="F64" s="0" t="n">
        <f aca="false">G30*(H30+H$34)*(I30+I$34)*(1-(J30+J$34))</f>
        <v>0.0016318263169207</v>
      </c>
      <c r="G64" s="0" t="n">
        <f aca="false">G30*(H30+H$34)*(I30+I$34)*(J30+J$34)*(1-(K30+K$34))</f>
        <v>0.000229689838726233</v>
      </c>
      <c r="H64" s="0" t="n">
        <f aca="false">G30*(H30+H$34)*(I30+I$34)*(J30+J$34)*(K30+K$34)*1</f>
        <v>2.6282916869171E-005</v>
      </c>
      <c r="I64" s="0" t="n">
        <f aca="false">C64*G30*((H30*I30)+Calc!$C$80*(H$34*(I30+I$34)+I$34*(H30+H$34)))*(1-(J30+J$34))</f>
        <v>0.000484432502031958</v>
      </c>
      <c r="J64" s="0" t="n">
        <f aca="false">D64*G30*((H30*I30*J30)+Calc!$C$80*(H$34*(I30+I$34)*(J30+J$34)+I$34*(H30+H$34)*(J30+J$34)+J$34*(H30+H$34)*(I30+I$34)))*(1-(K30+K$34))</f>
        <v>0.000176750284301602</v>
      </c>
      <c r="K64" s="0" t="n">
        <f aca="false">E64*G30*((H30*I30*J30*K30)+Calc!$C$80*(H$34*(I30+I$34)*(J30+J$34)*(K30+K$34)+I$34*(H30+H$34)*(J30+J$34)*(K30+K$34)+J$34*(H30+H$34)*(I30+I$34)*(K30+K$34)+K$34*(H30+H$34)*(I30+I$34)*(J30+J$34)))*1</f>
        <v>0.000101125784550668</v>
      </c>
      <c r="L64" s="0" t="n">
        <f aca="false">C64*G30*(H30*I30)*(1-(J30+J$34))+D64*G30*(H30*I30*J30)*(1-(K30+K$34))+E64*G30*(H30*I30*J30*K30)*1</f>
        <v>0.00016667482417543</v>
      </c>
      <c r="M64" s="0" t="n">
        <f aca="false">SUM(I64:K64)-L64</f>
        <v>0.000595633746708797</v>
      </c>
      <c r="N64" s="0" t="n">
        <f aca="false">SUM(I64:K64)*Calc!$C$79</f>
        <v>0.0304923428353691</v>
      </c>
    </row>
    <row r="65" customFormat="false" ht="15" hidden="false" customHeight="false" outlineLevel="0" collapsed="false">
      <c r="A65" s="0" t="s">
        <v>89</v>
      </c>
      <c r="B65" s="0" t="s">
        <v>90</v>
      </c>
      <c r="C65" s="0" t="n">
        <f aca="false">PAR!F24</f>
        <v>0.1</v>
      </c>
      <c r="D65" s="0" t="n">
        <f aca="false">PAR!E24</f>
        <v>0.25</v>
      </c>
      <c r="E65" s="0" t="n">
        <f aca="false">PAR!D24</f>
        <v>1</v>
      </c>
      <c r="F65" s="0" t="n">
        <f aca="false">G31*(H31+H$34)*(I31+I$34)*(1-(J31+J$34))</f>
        <v>0.00180198483657044</v>
      </c>
      <c r="G65" s="0" t="n">
        <f aca="false">G31*(H31+H$34)*(I31+I$34)*(J31+J$34)*(1-(K31+K$34))</f>
        <v>0.000261547763928679</v>
      </c>
      <c r="H65" s="0" t="n">
        <f aca="false">G31*(H31+H$34)*(I31+I$34)*(J31+J$34)*(K31+K$34)*1</f>
        <v>3.13857316714415E-005</v>
      </c>
      <c r="I65" s="0" t="n">
        <f aca="false">C65*G31*((H31*I31)+Calc!$C$80*(H$34*(I31+I$34)+I$34*(H31+H$34)))*(1-(J31+J$34))</f>
        <v>0.00035086580784793</v>
      </c>
      <c r="J65" s="0" t="n">
        <f aca="false">D65*G31*((H31*I31*J31)+Calc!$C$80*(H$34*(I31+I$34)*(J31+J$34)+I$34*(H31+H$34)*(J31+J$34)+J$34*(H31+H$34)*(I31+I$34)))*(1-(K31+K$34))</f>
        <v>0.000164248458662499</v>
      </c>
      <c r="K65" s="0" t="n">
        <f aca="false">E65*G31*((H31*I31*J31*K31)+Calc!$C$80*(H$34*(I31+I$34)*(J31+J$34)*(K31+K$34)+I$34*(H31+H$34)*(J31+J$34)*(K31+K$34)+J$34*(H31+H$34)*(I31+I$34)*(K31+K$34)+K$34*(H31+H$34)*(I31+I$34)*(J31+J$34)))*1</f>
        <v>7.88392601579996E-005</v>
      </c>
      <c r="L65" s="0" t="n">
        <f aca="false">C65*G31*(H31*I31)*(1-(J31+J$34))+D65*G31*(H31*I31*J31)*(1-(K31+K$34))+E65*G31*(H31*I31*J31*K31)*1</f>
        <v>0.000132537446200757</v>
      </c>
      <c r="M65" s="0" t="n">
        <f aca="false">SUM(I65:K65)-L65</f>
        <v>0.000461416080467671</v>
      </c>
      <c r="N65" s="0" t="n">
        <f aca="false">SUM(I65:K65)*Calc!$C$79</f>
        <v>0.0237581410667371</v>
      </c>
    </row>
    <row r="66" customFormat="false" ht="15" hidden="false" customHeight="false" outlineLevel="0" collapsed="false">
      <c r="A66" s="0" t="s">
        <v>93</v>
      </c>
      <c r="B66" s="0" t="s">
        <v>94</v>
      </c>
      <c r="C66" s="0" t="n">
        <f aca="false">PAR!F25</f>
        <v>0.1</v>
      </c>
      <c r="D66" s="0" t="n">
        <f aca="false">PAR!E25</f>
        <v>0.25</v>
      </c>
      <c r="E66" s="0" t="n">
        <f aca="false">PAR!D25</f>
        <v>1</v>
      </c>
      <c r="F66" s="0" t="n">
        <f aca="false">G32*(H32+H$34)*(I32+I$34)*(1-(J32+J$34))</f>
        <v>0.00198273733734775</v>
      </c>
      <c r="G66" s="0" t="n">
        <f aca="false">G32*(H32+H$34)*(I32+I$34)*(J32+J$34)*(1-(K32+K$34))</f>
        <v>0.000296481630668645</v>
      </c>
      <c r="H66" s="0" t="n">
        <f aca="false">G32*(H32+H$34)*(I32+I$34)*(J32+J$34)*(K32+K$34)*1</f>
        <v>3.72464360136489E-005</v>
      </c>
      <c r="I66" s="0" t="n">
        <f aca="false">C66*G32*((H32*I32)+Calc!$C$80*(H$34*(I32+I$34)+I$34*(H32+H$34)))*(1-(J32+J$34))</f>
        <v>0.000380116132096027</v>
      </c>
      <c r="J66" s="0" t="n">
        <f aca="false">D66*G32*((H32*I32*J32)+Calc!$C$80*(H$34*(I32+I$34)*(J32+J$34)+I$34*(H32+H$34)*(J32+J$34)+J$34*(H32+H$34)*(I32+I$34)))*(1-(K32+K$34))</f>
        <v>0.000182502834227527</v>
      </c>
      <c r="K66" s="0" t="n">
        <f aca="false">E66*G32*((H32*I32*J32*K32)+Calc!$C$80*(H$34*(I32+I$34)*(J32+J$34)*(K32+K$34)+I$34*(H32+H$34)*(J32+J$34)*(K32+K$34)+J$34*(H32+H$34)*(I32+I$34)*(K32+K$34)+K$34*(H32+H$34)*(I32+I$34)*(J32+J$34)))*1</f>
        <v>9.17099669485062E-005</v>
      </c>
      <c r="L66" s="0" t="n">
        <f aca="false">C66*G32*(H32*I32)*(1-(J32+J$34))+D66*G32*(H32*I32*J32)*(1-(K32+K$34))+E66*G32*(H32*I32*J32*K32)*1</f>
        <v>0.000151471193119698</v>
      </c>
      <c r="M66" s="0" t="n">
        <f aca="false">SUM(I66:K66)-L66</f>
        <v>0.000502857740152363</v>
      </c>
      <c r="N66" s="0" t="n">
        <f aca="false">SUM(I66:K66)*Calc!$C$79</f>
        <v>0.0261731573308824</v>
      </c>
    </row>
    <row r="67" customFormat="false" ht="15" hidden="false" customHeight="false" outlineLevel="0" collapsed="false">
      <c r="A67" s="0" t="s">
        <v>96</v>
      </c>
      <c r="B67" s="0" t="s">
        <v>97</v>
      </c>
      <c r="C67" s="0" t="n">
        <f aca="false">PAR!F26</f>
        <v>0.1</v>
      </c>
      <c r="D67" s="0" t="n">
        <f aca="false">PAR!E26</f>
        <v>0.25</v>
      </c>
      <c r="E67" s="0" t="n">
        <f aca="false">PAR!D26</f>
        <v>1</v>
      </c>
      <c r="F67" s="0" t="n">
        <f aca="false">G33*(H33+H$34)*(I33+I$34)*(1-(J33+J$34))</f>
        <v>0.00241757079014889</v>
      </c>
      <c r="G67" s="0" t="n">
        <f aca="false">G33*(H33+H$34)*(I33+I$34)*(J33+J$34)*(1-(K33+K$34))</f>
        <v>0.000404727252815104</v>
      </c>
      <c r="H67" s="0" t="n">
        <f aca="false">G33*(H33+H$34)*(I33+I$34)*(J33+J$34)*(K33+K$34)*1</f>
        <v>5.19926697571041E-005</v>
      </c>
      <c r="I67" s="0" t="n">
        <f aca="false">C67*G33*((H33*I33)+Calc!$C$80*(H$34*(I33+I$34)+I$34*(H33+H$34)))*(1-(J33+J$34))</f>
        <v>0.000441351723449581</v>
      </c>
      <c r="J67" s="0" t="n">
        <f aca="false">D67*G33*((H33*I33*J33)+Calc!$C$80*(H$34*(I33+I$34)*(J33+J$34)+I$34*(H33+H$34)*(J33+J$34)+J$34*(H33+H$34)*(I33+I$34)))*(1-(K33+K$34))</f>
        <v>0.00023382874195041</v>
      </c>
      <c r="K67" s="0" t="n">
        <f aca="false">E67*G33*((H33*I33*J33*K33)+Calc!$C$80*(H$34*(I33+I$34)*(J33+J$34)*(K33+K$34)+I$34*(H33+H$34)*(J33+J$34)*(K33+K$34)+J$34*(H33+H$34)*(I33+I$34)*(K33+K$34)+K$34*(H33+H$34)*(I33+I$34)*(J33+J$34)))*1</f>
        <v>0.000120153811984593</v>
      </c>
      <c r="L67" s="0" t="n">
        <f aca="false">C67*G33*(H33*I33)*(1-(J33+J$34))+D67*G33*(H33*I33*J33)*(1-(K33+K$34))+E67*G33*(H33*I33*J33*K33)*1</f>
        <v>0.000206878810671235</v>
      </c>
      <c r="M67" s="0" t="n">
        <f aca="false">SUM(I67:K67)-L67</f>
        <v>0.000588455466713349</v>
      </c>
      <c r="N67" s="0" t="n">
        <f aca="false">SUM(I67:K67)*Calc!$C$79</f>
        <v>0.0318133710953834</v>
      </c>
    </row>
    <row r="68" customFormat="false" ht="15" hidden="false" customHeight="false" outlineLevel="0" collapsed="false">
      <c r="A68" s="0" t="s">
        <v>190</v>
      </c>
      <c r="F68" s="0" t="n">
        <f aca="false">SUM(F57:F67)</f>
        <v>0.0145866805710473</v>
      </c>
      <c r="G68" s="0" t="n">
        <f aca="false">SUM(G57:G67)</f>
        <v>0.00201676464181252</v>
      </c>
      <c r="H68" s="0" t="n">
        <f aca="false">SUM(H57:H67)</f>
        <v>0.000223151080282581</v>
      </c>
      <c r="I68" s="0" t="n">
        <f aca="false">SUM(I57:I67)</f>
        <v>0.00998812708315464</v>
      </c>
      <c r="J68" s="0" t="n">
        <f aca="false">SUM(J57:J67)</f>
        <v>0.00422698128750859</v>
      </c>
      <c r="K68" s="0" t="n">
        <f aca="false">SUM(K57:K67)</f>
        <v>0.00151800738053594</v>
      </c>
      <c r="L68" s="0" t="n">
        <f aca="false">SUM(L57:L67)</f>
        <v>0.00267122609985181</v>
      </c>
      <c r="M68" s="0" t="n">
        <f aca="false">SUM(M57:M67)</f>
        <v>0.0130618896513474</v>
      </c>
      <c r="N68" s="0" t="n">
        <f aca="false">SUM(N57:N67)</f>
        <v>0.629324630047967</v>
      </c>
    </row>
    <row r="71" customFormat="false" ht="15" hidden="false" customHeight="false" outlineLevel="0" collapsed="false">
      <c r="A71" s="56" t="s">
        <v>192</v>
      </c>
    </row>
    <row r="72" customFormat="false" ht="15" hidden="false" customHeight="false" outlineLevel="0" collapsed="false">
      <c r="B72" s="0" t="s">
        <v>193</v>
      </c>
      <c r="C72" s="0" t="n">
        <f aca="false">4*B17/B18</f>
        <v>0.166037735849057</v>
      </c>
    </row>
    <row r="73" customFormat="false" ht="15" hidden="false" customHeight="false" outlineLevel="0" collapsed="false">
      <c r="B73" s="0" t="s">
        <v>194</v>
      </c>
      <c r="C73" s="0" t="n">
        <f aca="false">4*D17/D18</f>
        <v>0.160291438979964</v>
      </c>
    </row>
    <row r="74" customFormat="false" ht="15" hidden="false" customHeight="false" outlineLevel="0" collapsed="false">
      <c r="B74" s="0" t="s">
        <v>195</v>
      </c>
      <c r="C74" s="0" t="n">
        <f aca="false">4*F17/F18</f>
        <v>0.166037735849057</v>
      </c>
    </row>
    <row r="75" customFormat="false" ht="15" hidden="false" customHeight="false" outlineLevel="0" collapsed="false">
      <c r="B75" s="0" t="s">
        <v>196</v>
      </c>
      <c r="C75" s="0" t="n">
        <f aca="false">C72*C73*C74</f>
        <v>0.00441899930032338</v>
      </c>
    </row>
    <row r="76" customFormat="false" ht="15" hidden="false" customHeight="false" outlineLevel="0" collapsed="false">
      <c r="B76" s="0" t="s">
        <v>197</v>
      </c>
      <c r="C76" s="57" t="n">
        <f aca="false">1/C75</f>
        <v>226.295577808039</v>
      </c>
    </row>
    <row r="78" customFormat="false" ht="15" hidden="false" customHeight="false" outlineLevel="0" collapsed="false">
      <c r="A78" s="56" t="s">
        <v>198</v>
      </c>
    </row>
    <row r="79" customFormat="false" ht="15" hidden="false" customHeight="false" outlineLevel="0" collapsed="false">
      <c r="B79" s="0" t="s">
        <v>199</v>
      </c>
      <c r="C79" s="0" t="n">
        <f aca="false">COUNTA(PAR!J3:M12)</f>
        <v>40</v>
      </c>
    </row>
    <row r="80" customFormat="false" ht="15" hidden="false" customHeight="false" outlineLevel="0" collapsed="false">
      <c r="B80" s="0" t="s">
        <v>200</v>
      </c>
      <c r="C80" s="0" t="n">
        <f aca="false">SUMPRODUCT(PAR!H16:H18,PAR!J16:J18)</f>
        <v>2.6</v>
      </c>
    </row>
    <row r="81" customFormat="false" ht="15" hidden="false" customHeight="false" outlineLevel="0" collapsed="false">
      <c r="B81" s="0" t="s">
        <v>201</v>
      </c>
      <c r="C81" s="58" t="n">
        <f aca="false">L52*C79</f>
        <v>0.0982560775073604</v>
      </c>
    </row>
    <row r="82" customFormat="false" ht="15" hidden="false" customHeight="false" outlineLevel="0" collapsed="false">
      <c r="B82" s="0" t="s">
        <v>202</v>
      </c>
      <c r="C82" s="58" t="n">
        <f aca="false">N52</f>
        <v>0.53572422485447</v>
      </c>
    </row>
    <row r="83" customFormat="false" ht="15" hidden="false" customHeight="false" outlineLevel="0" collapsed="false">
      <c r="B83" s="0" t="s">
        <v>203</v>
      </c>
      <c r="C83" s="58" t="n">
        <f aca="false">C75</f>
        <v>0.00441899930032338</v>
      </c>
    </row>
    <row r="84" customFormat="false" ht="15" hidden="false" customHeight="false" outlineLevel="0" collapsed="false">
      <c r="B84" s="0" t="s">
        <v>204</v>
      </c>
      <c r="C84" s="59" t="n">
        <v>93.1167756198969</v>
      </c>
      <c r="D84" s="0" t="s">
        <v>205</v>
      </c>
    </row>
    <row r="85" customFormat="false" ht="15" hidden="false" customHeight="false" outlineLevel="0" collapsed="false">
      <c r="B85" s="0" t="s">
        <v>206</v>
      </c>
      <c r="C85" s="60" t="n">
        <v>2.961343975</v>
      </c>
      <c r="D85" s="0" t="s">
        <v>207</v>
      </c>
    </row>
    <row r="86" customFormat="false" ht="15" hidden="false" customHeight="false" outlineLevel="0" collapsed="false">
      <c r="B86" s="0" t="s">
        <v>208</v>
      </c>
      <c r="C86" s="60" t="n">
        <v>0</v>
      </c>
    </row>
    <row r="87" customFormat="false" ht="15" hidden="false" customHeight="false" outlineLevel="0" collapsed="false">
      <c r="B87" s="0" t="s">
        <v>209</v>
      </c>
      <c r="C87" s="61" t="n">
        <f aca="false">C84+C85-C86</f>
        <v>96.0781195948969</v>
      </c>
    </row>
    <row r="88" customFormat="false" ht="15" hidden="false" customHeight="false" outlineLevel="0" collapsed="false">
      <c r="B88" s="0" t="s">
        <v>210</v>
      </c>
      <c r="C88" s="59" t="n">
        <v>8.57628442870623</v>
      </c>
    </row>
    <row r="89" customFormat="false" ht="15" hidden="false" customHeight="false" outlineLevel="0" collapsed="false">
      <c r="B89" s="0" t="s">
        <v>211</v>
      </c>
      <c r="C89" s="58" t="n">
        <f aca="false">C83*C87</f>
        <v>0.424569143266236</v>
      </c>
    </row>
    <row r="90" customFormat="false" ht="15" hidden="false" customHeight="false" outlineLevel="0" collapsed="false">
      <c r="B90" s="0" t="s">
        <v>212</v>
      </c>
      <c r="C90" s="58" t="n">
        <f aca="false">C82+C89</f>
        <v>0.960293368120705</v>
      </c>
    </row>
    <row r="91" customFormat="false" ht="15" hidden="false" customHeight="false" outlineLevel="0" collapsed="false">
      <c r="B91" s="0" t="s">
        <v>213</v>
      </c>
      <c r="C91" s="0" t="n">
        <v>0</v>
      </c>
    </row>
    <row r="92" customFormat="false" ht="15" hidden="false" customHeight="false" outlineLevel="0" collapsed="false">
      <c r="B92" s="0" t="s">
        <v>214</v>
      </c>
      <c r="C92" s="58" t="n">
        <f aca="false">(C91+C87)/C94</f>
        <v>0.960781195948969</v>
      </c>
    </row>
    <row r="93" customFormat="false" ht="15" hidden="false" customHeight="false" outlineLevel="0" collapsed="false">
      <c r="B93" s="0" t="s">
        <v>215</v>
      </c>
      <c r="C93" s="58" t="n">
        <f aca="false">PAR!D41</f>
        <v>0.96</v>
      </c>
    </row>
    <row r="94" customFormat="false" ht="15" hidden="false" customHeight="false" outlineLevel="0" collapsed="false">
      <c r="B94" s="0" t="s">
        <v>216</v>
      </c>
      <c r="C94" s="62" t="n">
        <v>100</v>
      </c>
    </row>
    <row r="95" customFormat="false" ht="15" hidden="false" customHeight="false" outlineLevel="0" collapsed="false">
      <c r="B95" s="0" t="s">
        <v>217</v>
      </c>
      <c r="C95" s="58" t="n">
        <f aca="false">N68</f>
        <v>0.629324630047967</v>
      </c>
    </row>
    <row r="96" customFormat="false" ht="15" hidden="false" customHeight="false" outlineLevel="0" collapsed="false">
      <c r="B96" s="0" t="s">
        <v>218</v>
      </c>
      <c r="C96" s="0" t="str">
        <f aca="false">IF(ABS(C82-0.535724224854469)&lt;0.000000001,"OK","CHECK")</f>
        <v>OK</v>
      </c>
      <c r="D96" s="0" t="s">
        <v>219</v>
      </c>
    </row>
    <row r="97" customFormat="false" ht="15" hidden="false" customHeight="false" outlineLevel="0" collapsed="false">
      <c r="A97" s="0"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26"/>
    <col collapsed="false" customWidth="true" hidden="false" outlineLevel="0" max="4" min="4" style="0" width="18"/>
    <col collapsed="false" customWidth="true" hidden="false" outlineLevel="0" max="5" min="5" style="0" width="50"/>
    <col collapsed="false" customWidth="true" hidden="false" outlineLevel="0" max="6" min="6" style="0" width="3"/>
    <col collapsed="false" customWidth="true" hidden="false" outlineLevel="0" max="7" min="7" style="0" width="22"/>
    <col collapsed="false" customWidth="true" hidden="false" outlineLevel="0" max="9" min="8" style="0" width="14"/>
    <col collapsed="false" customWidth="true" hidden="false" outlineLevel="0" max="10" min="10" style="0" width="3"/>
    <col collapsed="false" customWidth="true" hidden="false" outlineLevel="0" max="11" min="11" style="0" width="22"/>
    <col collapsed="false" customWidth="true" hidden="false" outlineLevel="0" max="12" min="12" style="0" width="14"/>
    <col collapsed="false" customWidth="true" hidden="false" outlineLevel="0" max="13" min="13" style="0" width="3"/>
    <col collapsed="false" customWidth="true" hidden="false" outlineLevel="0" max="14" min="14" style="0" width="30"/>
    <col collapsed="false" customWidth="true" hidden="false" outlineLevel="0" max="16" min="15" style="0" width="14"/>
  </cols>
  <sheetData>
    <row r="1" customFormat="false" ht="16.15" hidden="false" customHeight="false" outlineLevel="0" collapsed="false">
      <c r="A1" s="55" t="s">
        <v>221</v>
      </c>
    </row>
    <row r="2" customFormat="false" ht="15" hidden="false" customHeight="false" outlineLevel="0" collapsed="false">
      <c r="A2" s="0" t="s">
        <v>222</v>
      </c>
    </row>
    <row r="4" customFormat="false" ht="15" hidden="false" customHeight="false" outlineLevel="0" collapsed="false">
      <c r="A4" s="0" t="s">
        <v>223</v>
      </c>
      <c r="B4" s="0" t="s">
        <v>224</v>
      </c>
      <c r="C4" s="0" t="s">
        <v>225</v>
      </c>
      <c r="D4" s="0" t="s">
        <v>226</v>
      </c>
      <c r="G4" s="0" t="s">
        <v>227</v>
      </c>
      <c r="H4" s="0" t="s">
        <v>228</v>
      </c>
      <c r="I4" s="0" t="s">
        <v>229</v>
      </c>
      <c r="K4" s="0" t="s">
        <v>230</v>
      </c>
      <c r="L4" s="0" t="s">
        <v>228</v>
      </c>
      <c r="N4" s="0" t="s">
        <v>231</v>
      </c>
      <c r="O4" s="0" t="s">
        <v>228</v>
      </c>
      <c r="P4" s="0" t="s">
        <v>229</v>
      </c>
    </row>
    <row r="5" customFormat="false" ht="15" hidden="false" customHeight="false" outlineLevel="0" collapsed="false">
      <c r="A5" s="0" t="n">
        <v>1</v>
      </c>
      <c r="B5" s="63" t="n">
        <v>1</v>
      </c>
      <c r="C5" s="63" t="n">
        <v>0.629324630047967</v>
      </c>
      <c r="D5" s="0" t="n">
        <f aca="false">B5*C5</f>
        <v>0.629324630047967</v>
      </c>
      <c r="K5" s="0" t="n">
        <v>0</v>
      </c>
      <c r="L5" s="63" t="n">
        <v>0.0220776334336698</v>
      </c>
      <c r="N5" s="0" t="n">
        <v>0</v>
      </c>
      <c r="O5" s="63" t="n">
        <v>0.808535740799767</v>
      </c>
      <c r="P5" s="64" t="n">
        <v>0.808445</v>
      </c>
    </row>
    <row r="6" customFormat="false" ht="15" hidden="false" customHeight="false" outlineLevel="0" collapsed="false">
      <c r="A6" s="0" t="n">
        <v>2</v>
      </c>
      <c r="B6" s="63" t="n">
        <v>1</v>
      </c>
      <c r="C6" s="63" t="n">
        <v>1.55015917083783</v>
      </c>
      <c r="D6" s="0" t="n">
        <f aca="false">B6*C6</f>
        <v>1.55015917083783</v>
      </c>
      <c r="K6" s="0" t="n">
        <v>1</v>
      </c>
      <c r="L6" s="63" t="n">
        <v>0.10166441886236</v>
      </c>
      <c r="N6" s="0" t="n">
        <v>1</v>
      </c>
      <c r="O6" s="63" t="n">
        <v>0.190833708831722</v>
      </c>
      <c r="P6" s="64" t="n">
        <v>0.19092175</v>
      </c>
    </row>
    <row r="7" customFormat="false" ht="15" hidden="false" customHeight="false" outlineLevel="0" collapsed="false">
      <c r="A7" s="0" t="n">
        <v>3</v>
      </c>
      <c r="B7" s="63" t="n">
        <v>1</v>
      </c>
      <c r="C7" s="63" t="n">
        <v>2.91508561095015</v>
      </c>
      <c r="D7" s="0" t="n">
        <f aca="false">B7*C7</f>
        <v>2.91508561095015</v>
      </c>
      <c r="K7" s="0" t="n">
        <v>2</v>
      </c>
      <c r="L7" s="63" t="n">
        <v>0.210737172536134</v>
      </c>
      <c r="N7" s="0" t="n">
        <v>2</v>
      </c>
      <c r="O7" s="63" t="n">
        <v>0.00063055036851099</v>
      </c>
      <c r="P7" s="64" t="n">
        <v>0.00063325</v>
      </c>
    </row>
    <row r="8" customFormat="false" ht="15" hidden="false" customHeight="false" outlineLevel="0" collapsed="false">
      <c r="A8" s="0" t="n">
        <v>4</v>
      </c>
      <c r="B8" s="63" t="n">
        <v>1</v>
      </c>
      <c r="C8" s="63" t="n">
        <v>4.74291258456104</v>
      </c>
      <c r="D8" s="0" t="n">
        <f aca="false">B8*C8</f>
        <v>4.74291258456104</v>
      </c>
      <c r="K8" s="0" t="n">
        <v>3</v>
      </c>
      <c r="L8" s="63" t="n">
        <v>0.26039107459395</v>
      </c>
      <c r="N8" s="0" t="s">
        <v>232</v>
      </c>
      <c r="O8" s="0" t="n">
        <f aca="false">SUM(O5:O7)</f>
        <v>1</v>
      </c>
      <c r="P8" s="0" t="n">
        <f aca="false">SUM(P5:P7)</f>
        <v>1</v>
      </c>
    </row>
    <row r="9" customFormat="false" ht="15" hidden="false" customHeight="false" outlineLevel="0" collapsed="false">
      <c r="A9" s="0" t="n">
        <v>5</v>
      </c>
      <c r="B9" s="63" t="n">
        <v>1</v>
      </c>
      <c r="C9" s="63" t="n">
        <v>7.0411743665272</v>
      </c>
      <c r="D9" s="0" t="n">
        <f aca="false">B9*C9</f>
        <v>7.0411743665272</v>
      </c>
      <c r="K9" s="0" t="n">
        <v>4</v>
      </c>
      <c r="L9" s="63" t="n">
        <v>0.213665441373653</v>
      </c>
      <c r="N9" s="0" t="s">
        <v>233</v>
      </c>
      <c r="O9" s="0" t="n">
        <f aca="false">SUMPRODUCT(N5:N7,O5:O7)</f>
        <v>0.192094809568744</v>
      </c>
      <c r="P9" s="0" t="n">
        <f aca="false">SUMPRODUCT(N5:N7,P5:P7)</f>
        <v>0.19218825</v>
      </c>
    </row>
    <row r="10" customFormat="false" ht="15" hidden="false" customHeight="false" outlineLevel="0" collapsed="false">
      <c r="A10" s="0" t="n">
        <v>6</v>
      </c>
      <c r="B10" s="63" t="n">
        <v>1</v>
      </c>
      <c r="C10" s="63" t="n">
        <v>9.80821856512111</v>
      </c>
      <c r="D10" s="0" t="n">
        <f aca="false">B10*C10</f>
        <v>9.80821856512111</v>
      </c>
      <c r="K10" s="0" t="n">
        <v>5</v>
      </c>
      <c r="L10" s="63" t="n">
        <v>0.0536566690622599</v>
      </c>
      <c r="N10" s="0" t="s">
        <v>234</v>
      </c>
      <c r="O10" s="0" t="n">
        <f aca="false">O9*PAR!I25</f>
        <v>0.576284428706232</v>
      </c>
    </row>
    <row r="11" customFormat="false" ht="15" hidden="false" customHeight="false" outlineLevel="0" collapsed="false">
      <c r="A11" s="0" t="n">
        <v>7</v>
      </c>
      <c r="B11" s="63" t="n">
        <v>1</v>
      </c>
      <c r="C11" s="63" t="n">
        <v>13.0349946184511</v>
      </c>
      <c r="D11" s="0" t="n">
        <f aca="false">B11*C11</f>
        <v>13.0349946184511</v>
      </c>
      <c r="K11" s="0" t="n">
        <v>6</v>
      </c>
      <c r="L11" s="63" t="n">
        <v>0.0724656635635095</v>
      </c>
      <c r="N11" s="0" t="s">
        <v>235</v>
      </c>
      <c r="O11" s="0" t="n">
        <f aca="false">1-O5</f>
        <v>0.191464259200233</v>
      </c>
    </row>
    <row r="12" customFormat="false" ht="15" hidden="false" customHeight="false" outlineLevel="0" collapsed="false">
      <c r="A12" s="0" t="n">
        <v>8</v>
      </c>
      <c r="B12" s="63" t="n">
        <v>0.999999999999999</v>
      </c>
      <c r="C12" s="63" t="n">
        <v>16.7065814533904</v>
      </c>
      <c r="D12" s="0" t="n">
        <f aca="false">B12*C12</f>
        <v>16.7065814533904</v>
      </c>
      <c r="G12" s="0" t="n">
        <v>8</v>
      </c>
      <c r="H12" s="63" t="n">
        <v>0.808535740799767</v>
      </c>
      <c r="I12" s="64" t="n">
        <v>0.808445</v>
      </c>
      <c r="K12" s="0" t="n">
        <v>7</v>
      </c>
      <c r="L12" s="63" t="n">
        <v>0.0445587130368674</v>
      </c>
    </row>
    <row r="13" customFormat="false" ht="15" hidden="false" customHeight="false" outlineLevel="0" collapsed="false">
      <c r="A13" s="0" t="n">
        <v>9</v>
      </c>
      <c r="B13" s="63" t="n">
        <v>0.191464259200233</v>
      </c>
      <c r="C13" s="63" t="n">
        <v>55.8825723166297</v>
      </c>
      <c r="D13" s="0" t="n">
        <f aca="false">B13*C13</f>
        <v>10.699515310807</v>
      </c>
      <c r="K13" s="0" t="n">
        <v>8</v>
      </c>
      <c r="L13" s="63" t="n">
        <v>0.0163117137981554</v>
      </c>
    </row>
    <row r="14" customFormat="false" ht="15" hidden="false" customHeight="false" outlineLevel="0" collapsed="false">
      <c r="A14" s="0" t="n">
        <v>10</v>
      </c>
      <c r="B14" s="63" t="n">
        <v>0.191464259200233</v>
      </c>
      <c r="C14" s="63" t="n">
        <v>62.9337653184534</v>
      </c>
      <c r="D14" s="0" t="n">
        <f aca="false">B14*C14</f>
        <v>12.049566755379</v>
      </c>
      <c r="K14" s="0" t="n">
        <v>9</v>
      </c>
      <c r="L14" s="63" t="n">
        <v>0.00384094937092974</v>
      </c>
    </row>
    <row r="15" customFormat="false" ht="15" hidden="false" customHeight="false" outlineLevel="0" collapsed="false">
      <c r="A15" s="0" t="n">
        <v>11</v>
      </c>
      <c r="B15" s="63" t="n">
        <v>0.191464259200233</v>
      </c>
      <c r="C15" s="63" t="n">
        <v>70.1439360297512</v>
      </c>
      <c r="D15" s="0" t="n">
        <f aca="false">B15*C15</f>
        <v>13.4300567493248</v>
      </c>
      <c r="G15" s="0" t="n">
        <v>11</v>
      </c>
      <c r="H15" s="63" t="n">
        <v>0.190833708831722</v>
      </c>
      <c r="I15" s="64" t="n">
        <v>0.19092175</v>
      </c>
      <c r="K15" s="0" t="n">
        <v>10</v>
      </c>
      <c r="L15" s="63" t="n">
        <v>0.000457291536389244</v>
      </c>
    </row>
    <row r="16" customFormat="false" ht="15" hidden="false" customHeight="false" outlineLevel="0" collapsed="false">
      <c r="A16" s="0" t="n">
        <v>12</v>
      </c>
      <c r="B16" s="63" t="n">
        <v>0.00063055036851099</v>
      </c>
      <c r="C16" s="63" t="n">
        <v>263.71115833326</v>
      </c>
      <c r="D16" s="0" t="n">
        <f aca="false">B16*C16</f>
        <v>0.166283168067497</v>
      </c>
      <c r="K16" s="0" t="n">
        <v>11</v>
      </c>
      <c r="L16" s="63" t="n">
        <v>0.000158928370962567</v>
      </c>
    </row>
    <row r="17" customFormat="false" ht="15" hidden="false" customHeight="false" outlineLevel="0" collapsed="false">
      <c r="A17" s="0" t="n">
        <v>13</v>
      </c>
      <c r="B17" s="63" t="n">
        <v>0.00063055036851099</v>
      </c>
      <c r="C17" s="63" t="n">
        <v>269.234007208467</v>
      </c>
      <c r="D17" s="0" t="n">
        <f aca="false">B17*C17</f>
        <v>0.169765602460989</v>
      </c>
      <c r="K17" s="0" t="n">
        <v>12</v>
      </c>
      <c r="L17" s="63" t="n">
        <v>1.43304611591785E-005</v>
      </c>
    </row>
    <row r="18" customFormat="false" ht="15" hidden="false" customHeight="false" outlineLevel="0" collapsed="false">
      <c r="A18" s="0" t="n">
        <v>14</v>
      </c>
      <c r="B18" s="63" t="n">
        <v>0.00063055036851099</v>
      </c>
      <c r="C18" s="63" t="n">
        <v>274.580814820179</v>
      </c>
      <c r="D18" s="0" t="n">
        <f aca="false">B18*C18</f>
        <v>0.173137033970912</v>
      </c>
      <c r="G18" s="0" t="n">
        <v>14</v>
      </c>
      <c r="H18" s="63" t="n">
        <v>0.00063055036851099</v>
      </c>
      <c r="I18" s="64" t="n">
        <v>0.00063325</v>
      </c>
      <c r="K18" s="0" t="s">
        <v>232</v>
      </c>
      <c r="L18" s="0" t="n">
        <f aca="false">SUM(L5:L17)</f>
        <v>0.999999999999999</v>
      </c>
    </row>
    <row r="19" customFormat="false" ht="15" hidden="false" customHeight="false" outlineLevel="0" collapsed="false">
      <c r="A19" s="0" t="s">
        <v>190</v>
      </c>
      <c r="B19" s="0" t="n">
        <f aca="false">SUM(B5:B18)</f>
        <v>8.57628442870623</v>
      </c>
      <c r="D19" s="0" t="n">
        <f aca="false">SUM(D5:D18)</f>
        <v>93.1167756198969</v>
      </c>
      <c r="E19" s="0" t="s">
        <v>236</v>
      </c>
      <c r="K19" s="0" t="s">
        <v>237</v>
      </c>
      <c r="L19" s="0" t="n">
        <f aca="false">SUMPRODUCT(K5:K17,L5:L17)</f>
        <v>3.34551741886352</v>
      </c>
    </row>
    <row r="21" customFormat="false" ht="15" hidden="false" customHeight="false" outlineLevel="0" collapsed="false">
      <c r="G21" s="0" t="s">
        <v>232</v>
      </c>
      <c r="H21" s="0" t="n">
        <f aca="false">SUM(H5:H20)</f>
        <v>1</v>
      </c>
      <c r="I21" s="0" t="n">
        <f aca="false">SUM(I5:I20)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58"/>
    <col collapsed="false" customWidth="true" hidden="false" outlineLevel="0" max="9" min="3" style="0" width="18"/>
  </cols>
  <sheetData>
    <row r="1" customFormat="false" ht="16.15" hidden="false" customHeight="false" outlineLevel="0" collapsed="false">
      <c r="A1" s="55" t="s">
        <v>238</v>
      </c>
    </row>
    <row r="2" customFormat="false" ht="15" hidden="false" customHeight="false" outlineLevel="0" collapsed="false">
      <c r="A2" s="0" t="s">
        <v>239</v>
      </c>
    </row>
    <row r="4" customFormat="false" ht="15" hidden="false" customHeight="false" outlineLevel="0" collapsed="false">
      <c r="B4" s="0" t="s">
        <v>240</v>
      </c>
      <c r="C4" s="0" t="s">
        <v>241</v>
      </c>
      <c r="D4" s="0" t="s">
        <v>242</v>
      </c>
      <c r="E4" s="0" t="s">
        <v>243</v>
      </c>
    </row>
    <row r="5" customFormat="false" ht="15" hidden="false" customHeight="false" outlineLevel="0" collapsed="false">
      <c r="B5" s="0" t="s">
        <v>244</v>
      </c>
      <c r="C5" s="65" t="n">
        <v>40000000</v>
      </c>
      <c r="D5" s="65" t="n">
        <v>4000000</v>
      </c>
      <c r="E5" s="65" t="n">
        <v>4000000</v>
      </c>
    </row>
    <row r="6" customFormat="false" ht="15" hidden="false" customHeight="false" outlineLevel="0" collapsed="false">
      <c r="B6" s="0" t="s">
        <v>245</v>
      </c>
      <c r="C6" s="65" t="n">
        <v>40000000</v>
      </c>
      <c r="D6" s="65" t="n">
        <v>400000000</v>
      </c>
      <c r="E6" s="65" t="n">
        <v>4000000000</v>
      </c>
    </row>
    <row r="7" customFormat="false" ht="15" hidden="false" customHeight="false" outlineLevel="0" collapsed="false">
      <c r="B7" s="0" t="s">
        <v>246</v>
      </c>
      <c r="C7" s="66" t="n">
        <f aca="false">Calc!C90</f>
        <v>0.960293368120705</v>
      </c>
      <c r="D7" s="66" t="n">
        <f aca="false">Calc!C92</f>
        <v>0.960781195948969</v>
      </c>
      <c r="E7" s="66" t="n">
        <f aca="false">Calc!C93</f>
        <v>0.96</v>
      </c>
    </row>
    <row r="8" customFormat="false" ht="15" hidden="false" customHeight="false" outlineLevel="0" collapsed="false">
      <c r="B8" s="0" t="s">
        <v>247</v>
      </c>
      <c r="C8" s="67" t="n">
        <v>0.9621405625</v>
      </c>
      <c r="D8" s="67" t="n">
        <v>0.961100493625</v>
      </c>
      <c r="E8" s="67" t="n">
        <v>0.95966875</v>
      </c>
    </row>
    <row r="9" customFormat="false" ht="15" hidden="false" customHeight="false" outlineLevel="0" collapsed="false">
      <c r="B9" s="0" t="s">
        <v>248</v>
      </c>
      <c r="C9" s="67" t="n">
        <v>0.00224748458193574</v>
      </c>
      <c r="D9" s="67" t="n">
        <v>0.000940250802526335</v>
      </c>
      <c r="E9" s="67" t="n">
        <v>0.00240160157020079</v>
      </c>
    </row>
    <row r="10" customFormat="false" ht="15" hidden="false" customHeight="false" outlineLevel="0" collapsed="false">
      <c r="B10" s="0" t="s">
        <v>249</v>
      </c>
      <c r="C10" s="67" t="n">
        <v>0.957735492719406</v>
      </c>
      <c r="D10" s="67" t="n">
        <v>0.959257602052049</v>
      </c>
      <c r="E10" s="67" t="n">
        <v>0.954961610922406</v>
      </c>
    </row>
    <row r="11" customFormat="false" ht="15" hidden="false" customHeight="false" outlineLevel="0" collapsed="false">
      <c r="B11" s="0" t="s">
        <v>250</v>
      </c>
      <c r="C11" s="67" t="n">
        <v>0.966545632280594</v>
      </c>
      <c r="D11" s="67" t="n">
        <v>0.962943385197952</v>
      </c>
      <c r="E11" s="67" t="n">
        <v>0.964375889077594</v>
      </c>
    </row>
    <row r="12" customFormat="false" ht="15" hidden="false" customHeight="false" outlineLevel="0" collapsed="false">
      <c r="B12" s="0" t="s">
        <v>251</v>
      </c>
      <c r="C12" s="57" t="n">
        <f aca="false">(C8-C7)/C9</f>
        <v>0.821894127391106</v>
      </c>
      <c r="D12" s="57" t="n">
        <f aca="false">(D8-D7)/D9</f>
        <v>0.339587772935788</v>
      </c>
      <c r="E12" s="57" t="n">
        <f aca="false">(E8-E7)/E9</f>
        <v>-0.137928790566289</v>
      </c>
    </row>
    <row r="13" customFormat="false" ht="15" hidden="false" customHeight="false" outlineLevel="0" collapsed="false">
      <c r="B13" s="0" t="s">
        <v>252</v>
      </c>
      <c r="C13" s="0" t="str">
        <f aca="false">IF(AND(C7&gt;=C10,C7&lt;=C11),"YES","NO")</f>
        <v>YES</v>
      </c>
      <c r="D13" s="0" t="str">
        <f aca="false">IF(AND(D7&gt;=D10,D7&lt;=D11),"YES","NO")</f>
        <v>YES</v>
      </c>
      <c r="E13" s="0" t="str">
        <f aca="false">IF(AND(E7&gt;=E10,E7&lt;=E11),"YES","NO")</f>
        <v>YES</v>
      </c>
    </row>
    <row r="14" customFormat="false" ht="15" hidden="false" customHeight="false" outlineLevel="0" collapsed="false">
      <c r="B14" s="0" t="s">
        <v>123</v>
      </c>
      <c r="C14" s="68" t="n">
        <v>14.2143405700565</v>
      </c>
      <c r="D14" s="68" t="n">
        <v>1.88050160505267</v>
      </c>
      <c r="E14" s="68" t="n">
        <v>4.80320314040158</v>
      </c>
    </row>
    <row r="15" customFormat="false" ht="15" hidden="false" customHeight="false" outlineLevel="0" collapsed="false">
      <c r="B15" s="0" t="s">
        <v>253</v>
      </c>
      <c r="C15" s="69" t="n">
        <v>202.047477841554</v>
      </c>
      <c r="D15" s="69" t="n">
        <v>3.53628628660567</v>
      </c>
      <c r="E15" s="69" t="n">
        <v>23.0707604079636</v>
      </c>
    </row>
    <row r="16" customFormat="false" ht="15" hidden="false" customHeight="false" outlineLevel="0" collapsed="false">
      <c r="B16" s="0" t="s">
        <v>254</v>
      </c>
      <c r="C16" s="57" t="n">
        <f aca="false">1.96*C14</f>
        <v>27.8601075173107</v>
      </c>
      <c r="D16" s="57" t="n">
        <f aca="false">1.96*D14</f>
        <v>3.68578314590323</v>
      </c>
      <c r="E16" s="57" t="n">
        <f aca="false">1.96*E14</f>
        <v>9.41427815518709</v>
      </c>
    </row>
    <row r="17" customFormat="false" ht="15" hidden="false" customHeight="false" outlineLevel="0" collapsed="false">
      <c r="B17" s="0" t="s">
        <v>255</v>
      </c>
      <c r="C17" s="70" t="n">
        <v>62.4353947836467</v>
      </c>
      <c r="D17" s="70" t="n">
        <v>4.69004690016956</v>
      </c>
      <c r="E17" s="70" t="n">
        <v>4.80526349920414</v>
      </c>
    </row>
    <row r="18" customFormat="false" ht="15" hidden="false" customHeight="false" outlineLevel="0" collapsed="false">
      <c r="B18" s="0" t="s">
        <v>256</v>
      </c>
      <c r="C18" s="70" t="n">
        <v>6431.25613781349</v>
      </c>
      <c r="D18" s="70" t="n">
        <v>39.0092743768071</v>
      </c>
      <c r="E18" s="70" t="n">
        <v>21.0905625694244</v>
      </c>
    </row>
    <row r="19" customFormat="false" ht="15" hidden="false" customHeight="false" outlineLevel="0" collapsed="false">
      <c r="B19" s="0" t="s">
        <v>257</v>
      </c>
      <c r="C19" s="67" t="n">
        <v>0.336594775</v>
      </c>
      <c r="D19" s="67" t="n">
        <v>1</v>
      </c>
      <c r="E19" s="67" t="n">
        <v>0.03838675</v>
      </c>
    </row>
    <row r="20" customFormat="false" ht="15" hidden="false" customHeight="false" outlineLevel="0" collapsed="false">
      <c r="B20" s="0" t="s">
        <v>258</v>
      </c>
      <c r="C20" s="67" t="n">
        <v>0.663405225</v>
      </c>
      <c r="D20" s="67" t="n">
        <v>0</v>
      </c>
      <c r="E20" s="67" t="n">
        <v>0.96161325</v>
      </c>
    </row>
    <row r="21" customFormat="false" ht="15" hidden="false" customHeight="false" outlineLevel="0" collapsed="false">
      <c r="B21" s="0" t="s">
        <v>259</v>
      </c>
      <c r="C21" s="69" t="n">
        <v>2.85845364801043</v>
      </c>
      <c r="D21" s="69" t="n">
        <v>96.1100493625</v>
      </c>
      <c r="E21" s="69" t="n">
        <v>25000</v>
      </c>
    </row>
    <row r="22" customFormat="false" ht="15" hidden="false" customHeight="false" outlineLevel="0" collapsed="false">
      <c r="B22" s="0" t="s">
        <v>260</v>
      </c>
      <c r="C22" s="71" t="n">
        <v>4889.45</v>
      </c>
      <c r="D22" s="71" t="n">
        <v>6582.15</v>
      </c>
      <c r="E22" s="71" t="n">
        <v>25000</v>
      </c>
    </row>
    <row r="24" customFormat="false" ht="15" hidden="false" customHeight="false" outlineLevel="0" collapsed="false">
      <c r="B24" s="56" t="s">
        <v>261</v>
      </c>
    </row>
    <row r="25" customFormat="false" ht="15" hidden="false" customHeight="false" outlineLevel="0" collapsed="false">
      <c r="C25" s="0" t="s">
        <v>262</v>
      </c>
      <c r="D25" s="0" t="s">
        <v>263</v>
      </c>
    </row>
    <row r="26" customFormat="false" ht="15" hidden="false" customHeight="false" outlineLevel="0" collapsed="false">
      <c r="B26" s="0" t="s">
        <v>264</v>
      </c>
      <c r="C26" s="67" t="n">
        <v>0.53617482</v>
      </c>
      <c r="D26" s="66" t="n">
        <f aca="false">Calc!C82</f>
        <v>0.53572422485447</v>
      </c>
    </row>
    <row r="27" customFormat="false" ht="15" hidden="false" customHeight="false" outlineLevel="0" collapsed="false">
      <c r="B27" s="0" t="s">
        <v>265</v>
      </c>
      <c r="C27" s="67" t="n">
        <v>0.43789577</v>
      </c>
      <c r="D27" s="66" t="n">
        <f aca="false">Calc!M52*Calc!C79</f>
        <v>0.437468147347109</v>
      </c>
    </row>
    <row r="28" customFormat="false" ht="15" hidden="false" customHeight="false" outlineLevel="0" collapsed="false">
      <c r="B28" s="0" t="s">
        <v>266</v>
      </c>
      <c r="C28" s="67" t="n">
        <v>0.4259657425</v>
      </c>
      <c r="D28" s="66" t="n">
        <f aca="false">Calc!C89</f>
        <v>0.424569143266236</v>
      </c>
    </row>
    <row r="29" customFormat="false" ht="15" hidden="false" customHeight="false" outlineLevel="0" collapsed="false">
      <c r="B29" s="0" t="s">
        <v>267</v>
      </c>
      <c r="C29" s="67" t="n">
        <v>0.33307715</v>
      </c>
      <c r="D29" s="66"/>
    </row>
    <row r="30" customFormat="false" ht="15" hidden="false" customHeight="false" outlineLevel="0" collapsed="false">
      <c r="B30" s="0" t="s">
        <v>268</v>
      </c>
      <c r="C30" s="72" t="n">
        <v>0.00444275</v>
      </c>
      <c r="D30" s="73" t="n">
        <f aca="false">Calc!C75</f>
        <v>0.00441899930032338</v>
      </c>
    </row>
    <row r="31" customFormat="false" ht="15" hidden="false" customHeight="false" outlineLevel="0" collapsed="false">
      <c r="B31" s="0" t="s">
        <v>197</v>
      </c>
      <c r="C31" s="69" t="n">
        <v>225.085813966575</v>
      </c>
      <c r="D31" s="57" t="n">
        <f aca="false">Calc!C76</f>
        <v>226.295577808039</v>
      </c>
    </row>
    <row r="32" customFormat="false" ht="15" hidden="false" customHeight="false" outlineLevel="0" collapsed="false">
      <c r="B32" s="0" t="s">
        <v>269</v>
      </c>
      <c r="C32" s="69" t="n">
        <v>95.8788458724889</v>
      </c>
      <c r="D32" s="57" t="n">
        <f aca="false">Calc!C87</f>
        <v>96.0781195948969</v>
      </c>
    </row>
    <row r="33" customFormat="false" ht="15" hidden="false" customHeight="false" outlineLevel="0" collapsed="false">
      <c r="B33" s="0" t="s">
        <v>270</v>
      </c>
      <c r="C33" s="69" t="n">
        <v>0</v>
      </c>
      <c r="D33" s="57"/>
    </row>
    <row r="36" customFormat="false" ht="15" hidden="false" customHeight="false" outlineLevel="0" collapsed="false">
      <c r="B36" s="56" t="s">
        <v>271</v>
      </c>
    </row>
    <row r="37" customFormat="false" ht="15" hidden="false" customHeight="false" outlineLevel="0" collapsed="false">
      <c r="B37" s="0" t="s">
        <v>272</v>
      </c>
      <c r="C37" s="60" t="n">
        <v>96.1100493625</v>
      </c>
    </row>
    <row r="38" customFormat="false" ht="15" hidden="false" customHeight="false" outlineLevel="0" collapsed="false">
      <c r="B38" s="0" t="s">
        <v>273</v>
      </c>
      <c r="C38" s="60" t="n">
        <v>188.050160505267</v>
      </c>
    </row>
    <row r="39" customFormat="false" ht="15" hidden="false" customHeight="false" outlineLevel="0" collapsed="false">
      <c r="B39" s="0" t="s">
        <v>274</v>
      </c>
      <c r="C39" s="60" t="n">
        <v>0.0940250802526335</v>
      </c>
    </row>
    <row r="40" customFormat="false" ht="15" hidden="false" customHeight="false" outlineLevel="0" collapsed="false">
      <c r="B40" s="0" t="s">
        <v>275</v>
      </c>
      <c r="C40" s="60" t="n">
        <v>20.25</v>
      </c>
    </row>
    <row r="41" customFormat="false" ht="15" hidden="false" customHeight="false" outlineLevel="0" collapsed="false">
      <c r="B41" s="0" t="s">
        <v>276</v>
      </c>
      <c r="C41" s="74" t="n">
        <v>0.39386775</v>
      </c>
    </row>
    <row r="42" customFormat="false" ht="15" hidden="false" customHeight="false" outlineLevel="0" collapsed="false">
      <c r="B42" s="0" t="s">
        <v>277</v>
      </c>
      <c r="C42" s="60" t="n">
        <v>2.961343975</v>
      </c>
    </row>
    <row r="43" customFormat="false" ht="15" hidden="false" customHeight="false" outlineLevel="0" collapsed="false">
      <c r="B43" s="0" t="s">
        <v>278</v>
      </c>
      <c r="C43" s="60" t="n">
        <v>93.1487053875</v>
      </c>
    </row>
    <row r="44" customFormat="false" ht="15" hidden="false" customHeight="false" outlineLevel="0" collapsed="false">
      <c r="B44" s="0" t="s">
        <v>279</v>
      </c>
      <c r="C44" s="59" t="n">
        <v>93.1167756198969</v>
      </c>
      <c r="D44" s="61" t="n">
        <f aca="false">C43-C44</f>
        <v>0.0319297676031027</v>
      </c>
      <c r="E44" s="0" t="s">
        <v>280</v>
      </c>
    </row>
    <row r="45" customFormat="false" ht="15" hidden="false" customHeight="false" outlineLevel="0" collapsed="false">
      <c r="B45" s="0" t="s">
        <v>281</v>
      </c>
      <c r="C45" s="60" t="n">
        <v>8.57656475</v>
      </c>
    </row>
    <row r="46" customFormat="false" ht="15" hidden="false" customHeight="false" outlineLevel="0" collapsed="false">
      <c r="B46" s="0" t="s">
        <v>282</v>
      </c>
      <c r="C46" s="59" t="n">
        <v>8.57628442870623</v>
      </c>
    </row>
    <row r="47" customFormat="false" ht="15" hidden="false" customHeight="false" outlineLevel="0" collapsed="false">
      <c r="B47" s="0" t="s">
        <v>283</v>
      </c>
      <c r="C47" s="60" t="n">
        <v>3.34572775</v>
      </c>
    </row>
    <row r="48" customFormat="false" ht="15" hidden="false" customHeight="false" outlineLevel="0" collapsed="false">
      <c r="B48" s="0" t="s">
        <v>284</v>
      </c>
      <c r="C48" s="59" t="n">
        <v>3.34551741886352</v>
      </c>
    </row>
    <row r="49" customFormat="false" ht="15" hidden="false" customHeight="false" outlineLevel="0" collapsed="false">
      <c r="B49" s="0" t="s">
        <v>285</v>
      </c>
      <c r="C49" s="64" t="n">
        <v>0</v>
      </c>
    </row>
    <row r="50" customFormat="false" ht="15" hidden="false" customHeight="false" outlineLevel="0" collapsed="false">
      <c r="B50" s="0" t="s">
        <v>286</v>
      </c>
      <c r="C50" s="64" t="s">
        <v>287</v>
      </c>
    </row>
    <row r="51" customFormat="false" ht="15" hidden="false" customHeight="false" outlineLevel="0" collapsed="false">
      <c r="B51" s="0" t="s">
        <v>288</v>
      </c>
      <c r="C51" s="60" t="n">
        <v>6582.15</v>
      </c>
    </row>
    <row r="54" customFormat="false" ht="15" hidden="false" customHeight="false" outlineLevel="0" collapsed="false">
      <c r="B54" s="56" t="s">
        <v>289</v>
      </c>
    </row>
    <row r="55" customFormat="false" ht="15" hidden="false" customHeight="false" outlineLevel="0" collapsed="false">
      <c r="B55" s="56" t="s">
        <v>290</v>
      </c>
      <c r="C55" s="56" t="s">
        <v>291</v>
      </c>
      <c r="D55" s="56" t="s">
        <v>292</v>
      </c>
      <c r="E55" s="56" t="s">
        <v>293</v>
      </c>
      <c r="F55" s="56" t="s">
        <v>294</v>
      </c>
    </row>
    <row r="56" customFormat="false" ht="15" hidden="false" customHeight="false" outlineLevel="0" collapsed="false">
      <c r="B56" s="0" t="s">
        <v>295</v>
      </c>
      <c r="C56" s="75" t="n">
        <v>0.663405225</v>
      </c>
      <c r="D56" s="67" t="n">
        <v>0</v>
      </c>
      <c r="E56" s="75" t="n">
        <v>0</v>
      </c>
      <c r="F56" s="67" t="n">
        <v>0</v>
      </c>
    </row>
    <row r="57" customFormat="false" ht="15" hidden="false" customHeight="false" outlineLevel="0" collapsed="false">
      <c r="B57" s="0" t="s">
        <v>296</v>
      </c>
      <c r="C57" s="75" t="n">
        <v>0.220831</v>
      </c>
      <c r="D57" s="67" t="n">
        <v>0.0751019475</v>
      </c>
      <c r="E57" s="75" t="n">
        <v>0</v>
      </c>
      <c r="F57" s="67" t="n">
        <v>0</v>
      </c>
    </row>
    <row r="58" customFormat="false" ht="15" hidden="false" customHeight="false" outlineLevel="0" collapsed="false">
      <c r="B58" s="0" t="s">
        <v>297</v>
      </c>
      <c r="C58" s="75" t="n">
        <v>0.050470425</v>
      </c>
      <c r="D58" s="67" t="n">
        <v>0.0670949975</v>
      </c>
      <c r="E58" s="75" t="n">
        <v>0</v>
      </c>
      <c r="F58" s="67" t="n">
        <v>0</v>
      </c>
    </row>
    <row r="59" customFormat="false" ht="15" hidden="false" customHeight="false" outlineLevel="0" collapsed="false">
      <c r="B59" s="0" t="s">
        <v>298</v>
      </c>
      <c r="C59" s="75" t="n">
        <v>0.037389425</v>
      </c>
      <c r="D59" s="67" t="n">
        <v>0.11411072125</v>
      </c>
      <c r="E59" s="75" t="n">
        <v>0</v>
      </c>
      <c r="F59" s="67" t="n">
        <v>0</v>
      </c>
    </row>
    <row r="60" customFormat="false" ht="15" hidden="false" customHeight="false" outlineLevel="0" collapsed="false">
      <c r="B60" s="0" t="s">
        <v>299</v>
      </c>
      <c r="C60" s="75" t="n">
        <v>0.0141965</v>
      </c>
      <c r="D60" s="67" t="n">
        <v>0.09640505125</v>
      </c>
      <c r="E60" s="75" t="n">
        <v>0</v>
      </c>
      <c r="F60" s="67" t="n">
        <v>0</v>
      </c>
    </row>
    <row r="61" customFormat="false" ht="15" hidden="false" customHeight="false" outlineLevel="0" collapsed="false">
      <c r="B61" s="0" t="s">
        <v>300</v>
      </c>
      <c r="C61" s="75" t="n">
        <v>0.008732875</v>
      </c>
      <c r="D61" s="67" t="n">
        <v>0.11171029</v>
      </c>
      <c r="E61" s="75" t="n">
        <v>0.49708025</v>
      </c>
      <c r="F61" s="67" t="n">
        <v>0.05434689575</v>
      </c>
    </row>
    <row r="62" customFormat="false" ht="15" hidden="false" customHeight="false" outlineLevel="0" collapsed="false">
      <c r="B62" s="0" t="s">
        <v>301</v>
      </c>
      <c r="C62" s="75" t="n">
        <v>0.0030771</v>
      </c>
      <c r="D62" s="67" t="n">
        <v>0.0901509975</v>
      </c>
      <c r="E62" s="75" t="n">
        <v>0.1587095</v>
      </c>
      <c r="F62" s="67" t="n">
        <v>0.052258583</v>
      </c>
    </row>
    <row r="63" customFormat="false" ht="15" hidden="false" customHeight="false" outlineLevel="0" collapsed="false">
      <c r="B63" s="0" t="s">
        <v>302</v>
      </c>
      <c r="C63" s="75" t="n">
        <v>0.0007996</v>
      </c>
      <c r="D63" s="67" t="n">
        <v>0.0549873875</v>
      </c>
      <c r="E63" s="75" t="n">
        <v>0.1122745</v>
      </c>
      <c r="F63" s="67" t="n">
        <v>0.079950676625</v>
      </c>
    </row>
    <row r="64" customFormat="false" ht="15" hidden="false" customHeight="false" outlineLevel="0" collapsed="false">
      <c r="B64" s="0" t="s">
        <v>303</v>
      </c>
      <c r="C64" s="75" t="n">
        <v>0.0005935</v>
      </c>
      <c r="D64" s="67" t="n">
        <v>0.0934399875</v>
      </c>
      <c r="E64" s="75" t="n">
        <v>0.11871725</v>
      </c>
      <c r="F64" s="67" t="n">
        <v>0.19156213075</v>
      </c>
    </row>
    <row r="65" customFormat="false" ht="15" hidden="false" customHeight="false" outlineLevel="0" collapsed="false">
      <c r="B65" s="0" t="s">
        <v>304</v>
      </c>
      <c r="C65" s="75" t="n">
        <v>0.00031835</v>
      </c>
      <c r="D65" s="67" t="n">
        <v>0.11216005125</v>
      </c>
      <c r="E65" s="75" t="n">
        <v>0.07159575</v>
      </c>
      <c r="F65" s="67" t="n">
        <v>0.252452690875</v>
      </c>
    </row>
    <row r="66" customFormat="false" ht="15" hidden="false" customHeight="false" outlineLevel="0" collapsed="false">
      <c r="B66" s="0" t="s">
        <v>305</v>
      </c>
      <c r="C66" s="75" t="n">
        <v>0.0001553</v>
      </c>
      <c r="D66" s="67" t="n">
        <v>0.1050402675</v>
      </c>
      <c r="E66" s="75" t="n">
        <v>0.034444</v>
      </c>
      <c r="F66" s="67" t="n">
        <v>0.231751940875</v>
      </c>
    </row>
    <row r="67" customFormat="false" ht="15" hidden="false" customHeight="false" outlineLevel="0" collapsed="false">
      <c r="B67" s="0" t="s">
        <v>306</v>
      </c>
      <c r="C67" s="75" t="n">
        <v>2.9825E-005</v>
      </c>
      <c r="D67" s="67" t="n">
        <v>0.0392931325</v>
      </c>
      <c r="E67" s="75" t="n">
        <v>0.006972</v>
      </c>
      <c r="F67" s="67" t="n">
        <v>0.092322328125</v>
      </c>
    </row>
    <row r="68" customFormat="false" ht="15" hidden="false" customHeight="false" outlineLevel="0" collapsed="false">
      <c r="B68" s="0" t="s">
        <v>307</v>
      </c>
      <c r="C68" s="75" t="n">
        <v>8.75E-007</v>
      </c>
      <c r="D68" s="67" t="n">
        <v>0.00264573125</v>
      </c>
      <c r="E68" s="75" t="n">
        <v>0.00020325</v>
      </c>
      <c r="F68" s="67" t="n">
        <v>0.006258692375</v>
      </c>
    </row>
    <row r="69" customFormat="false" ht="15" hidden="false" customHeight="false" outlineLevel="0" collapsed="false">
      <c r="B69" s="0" t="s">
        <v>308</v>
      </c>
      <c r="C69" s="75" t="n">
        <v>0</v>
      </c>
      <c r="D69" s="67" t="n">
        <v>0</v>
      </c>
      <c r="E69" s="75" t="n">
        <v>3.5E-006</v>
      </c>
      <c r="F69" s="67" t="n">
        <v>0.00019655525</v>
      </c>
    </row>
    <row r="70" customFormat="false" ht="15" hidden="false" customHeight="false" outlineLevel="0" collapsed="false">
      <c r="B70" s="0" t="s">
        <v>309</v>
      </c>
      <c r="C70" s="75" t="n">
        <v>0</v>
      </c>
      <c r="D70" s="67" t="n">
        <v>0</v>
      </c>
      <c r="E70" s="75" t="n">
        <v>0</v>
      </c>
      <c r="F70" s="67" t="n">
        <v>0</v>
      </c>
    </row>
    <row r="71" customFormat="false" ht="15" hidden="false" customHeight="false" outlineLevel="0" collapsed="false">
      <c r="B71" s="0" t="s">
        <v>310</v>
      </c>
      <c r="C71" s="75" t="n">
        <v>0</v>
      </c>
      <c r="D71" s="67" t="n">
        <v>0</v>
      </c>
      <c r="E71" s="75" t="n">
        <v>0</v>
      </c>
      <c r="F71" s="67" t="n">
        <v>0</v>
      </c>
    </row>
    <row r="72" customFormat="false" ht="15" hidden="false" customHeight="false" outlineLevel="0" collapsed="false">
      <c r="B72" s="0" t="s">
        <v>311</v>
      </c>
      <c r="C72" s="75" t="n">
        <v>0</v>
      </c>
      <c r="D72" s="67" t="n">
        <v>0</v>
      </c>
      <c r="E72" s="75" t="n">
        <v>0</v>
      </c>
      <c r="F72" s="67" t="n">
        <v>0</v>
      </c>
    </row>
    <row r="73" customFormat="false" ht="15" hidden="false" customHeight="false" outlineLevel="0" collapsed="false">
      <c r="B73" s="0" t="s">
        <v>232</v>
      </c>
      <c r="C73" s="76" t="n">
        <f aca="false">SUM(C56:C71)</f>
        <v>1</v>
      </c>
      <c r="D73" s="76" t="n">
        <f aca="false">SUM(D56:D71)</f>
        <v>0.9621405625</v>
      </c>
      <c r="E73" s="76" t="n">
        <f aca="false">SUM(E56:E71)</f>
        <v>1</v>
      </c>
      <c r="F73" s="76" t="n">
        <f aca="false">SUM(F56:F71)</f>
        <v>0.961100493625</v>
      </c>
      <c r="G73" s="0" t="s">
        <v>312</v>
      </c>
    </row>
    <row r="76" customFormat="false" ht="15" hidden="false" customHeight="false" outlineLevel="0" collapsed="false">
      <c r="B76" s="56" t="s">
        <v>313</v>
      </c>
      <c r="C76" s="0" t="s">
        <v>314</v>
      </c>
      <c r="D76" s="0" t="s">
        <v>101</v>
      </c>
      <c r="E76" s="0" t="s">
        <v>315</v>
      </c>
    </row>
    <row r="77" customFormat="false" ht="15" hidden="false" customHeight="false" outlineLevel="0" collapsed="false">
      <c r="B77" s="0" t="n">
        <v>0</v>
      </c>
      <c r="C77" s="75" t="n">
        <v>0.336594775</v>
      </c>
      <c r="D77" s="75" t="n">
        <v>1</v>
      </c>
      <c r="E77" s="77" t="n">
        <f aca="false">IF(C77&gt;0,1/C77,"not observed")</f>
        <v>2.97093144122632</v>
      </c>
    </row>
    <row r="78" customFormat="false" ht="15" hidden="false" customHeight="false" outlineLevel="0" collapsed="false">
      <c r="B78" s="0" t="n">
        <v>1</v>
      </c>
      <c r="C78" s="75" t="n">
        <v>0.106025325</v>
      </c>
      <c r="D78" s="75" t="n">
        <v>1</v>
      </c>
      <c r="E78" s="77" t="n">
        <f aca="false">IF(C78&gt;0,1/C78,"not observed")</f>
        <v>9.43170888653253</v>
      </c>
    </row>
    <row r="79" customFormat="false" ht="15" hidden="false" customHeight="false" outlineLevel="0" collapsed="false">
      <c r="B79" s="0" t="n">
        <v>2</v>
      </c>
      <c r="C79" s="75" t="n">
        <v>0.062353525</v>
      </c>
      <c r="D79" s="75" t="n">
        <v>1</v>
      </c>
      <c r="E79" s="77" t="n">
        <f aca="false">IF(C79&gt;0,1/C79,"not observed")</f>
        <v>16.0375856858133</v>
      </c>
    </row>
    <row r="80" customFormat="false" ht="15" hidden="false" customHeight="false" outlineLevel="0" collapsed="false">
      <c r="B80" s="0" t="n">
        <v>5</v>
      </c>
      <c r="C80" s="75" t="n">
        <v>0.0262158</v>
      </c>
      <c r="D80" s="75" t="n">
        <v>1</v>
      </c>
      <c r="E80" s="77" t="n">
        <f aca="false">IF(C80&gt;0,1/C80,"not observed")</f>
        <v>38.1449354969141</v>
      </c>
    </row>
    <row r="81" customFormat="false" ht="15" hidden="false" customHeight="false" outlineLevel="0" collapsed="false">
      <c r="B81" s="0" t="n">
        <v>10</v>
      </c>
      <c r="C81" s="75" t="n">
        <v>0.01169605</v>
      </c>
      <c r="D81" s="75" t="n">
        <v>0.6041815</v>
      </c>
      <c r="E81" s="77" t="n">
        <f aca="false">IF(C81&gt;0,1/C81,"not observed")</f>
        <v>85.4989505003826</v>
      </c>
    </row>
    <row r="82" customFormat="false" ht="15" hidden="false" customHeight="false" outlineLevel="0" collapsed="false">
      <c r="B82" s="0" t="n">
        <v>20</v>
      </c>
      <c r="C82" s="75" t="n">
        <v>0.004838425</v>
      </c>
      <c r="D82" s="75" t="n">
        <v>0.501849</v>
      </c>
      <c r="E82" s="77" t="n">
        <f aca="false">IF(C82&gt;0,1/C82,"not observed")</f>
        <v>206.678826270946</v>
      </c>
    </row>
    <row r="83" customFormat="false" ht="15" hidden="false" customHeight="false" outlineLevel="0" collapsed="false">
      <c r="B83" s="0" t="n">
        <v>50</v>
      </c>
      <c r="C83" s="75" t="n">
        <v>0.00187925</v>
      </c>
      <c r="D83" s="75" t="n">
        <v>0.343788</v>
      </c>
      <c r="E83" s="77" t="n">
        <f aca="false">IF(C83&gt;0,1/C83,"not observed")</f>
        <v>532.127178395637</v>
      </c>
    </row>
    <row r="84" customFormat="false" ht="15" hidden="false" customHeight="false" outlineLevel="0" collapsed="false">
      <c r="B84" s="0" t="n">
        <v>100</v>
      </c>
      <c r="C84" s="75" t="n">
        <v>0.0010908</v>
      </c>
      <c r="D84" s="75" t="n">
        <v>0.23179025</v>
      </c>
      <c r="E84" s="77" t="n">
        <f aca="false">IF(C84&gt;0,1/C84,"not observed")</f>
        <v>916.758342500917</v>
      </c>
    </row>
    <row r="85" customFormat="false" ht="15" hidden="false" customHeight="false" outlineLevel="0" collapsed="false">
      <c r="B85" s="0" t="n">
        <v>250</v>
      </c>
      <c r="C85" s="75" t="n">
        <v>0.000504175</v>
      </c>
      <c r="D85" s="75" t="n">
        <v>0.113185</v>
      </c>
      <c r="E85" s="77" t="n">
        <f aca="false">IF(C85&gt;0,1/C85,"not observed")</f>
        <v>1983.43829027619</v>
      </c>
    </row>
    <row r="86" customFormat="false" ht="15" hidden="false" customHeight="false" outlineLevel="0" collapsed="false">
      <c r="B86" s="0" t="n">
        <v>500</v>
      </c>
      <c r="C86" s="75" t="n">
        <v>0.000185975</v>
      </c>
      <c r="D86" s="75" t="n">
        <v>0.04161625</v>
      </c>
      <c r="E86" s="77" t="n">
        <f aca="false">IF(C86&gt;0,1/C86,"not observed")</f>
        <v>5377.06681005512</v>
      </c>
    </row>
    <row r="87" customFormat="false" ht="15" hidden="false" customHeight="false" outlineLevel="0" collapsed="false">
      <c r="B87" s="0" t="n">
        <v>1000</v>
      </c>
      <c r="C87" s="75" t="n">
        <v>3.0675E-005</v>
      </c>
      <c r="D87" s="75" t="n">
        <v>0.00717825</v>
      </c>
      <c r="E87" s="77" t="n">
        <f aca="false">IF(C87&gt;0,1/C87,"not observed")</f>
        <v>32599.837000815</v>
      </c>
    </row>
    <row r="88" customFormat="false" ht="15" hidden="false" customHeight="false" outlineLevel="0" collapsed="false">
      <c r="B88" s="0" t="n">
        <v>2500</v>
      </c>
      <c r="C88" s="75" t="n">
        <v>8.75E-007</v>
      </c>
      <c r="D88" s="75" t="n">
        <v>0.00020675</v>
      </c>
      <c r="E88" s="77" t="n">
        <f aca="false">IF(C88&gt;0,1/C88,"not observed")</f>
        <v>1142857.14285714</v>
      </c>
    </row>
    <row r="89" customFormat="false" ht="15" hidden="false" customHeight="false" outlineLevel="0" collapsed="false">
      <c r="B89" s="0" t="n">
        <v>5000</v>
      </c>
      <c r="C89" s="75" t="n">
        <v>0</v>
      </c>
      <c r="D89" s="75" t="n">
        <v>3.5E-006</v>
      </c>
      <c r="E89" s="77" t="str">
        <f aca="false">IF(C89&gt;0,1/C89,"not observed")</f>
        <v>not observed</v>
      </c>
    </row>
    <row r="90" customFormat="false" ht="15" hidden="false" customHeight="false" outlineLevel="0" collapsed="false">
      <c r="B90" s="0" t="n">
        <v>10000</v>
      </c>
      <c r="C90" s="75" t="n">
        <v>0</v>
      </c>
      <c r="D90" s="75" t="n">
        <v>0</v>
      </c>
      <c r="E90" s="77" t="str">
        <f aca="false">IF(C90&gt;0,1/C90,"not observed")</f>
        <v>not observed</v>
      </c>
    </row>
    <row r="91" customFormat="false" ht="15" hidden="false" customHeight="false" outlineLevel="0" collapsed="false">
      <c r="B91" s="0" t="n">
        <v>25000</v>
      </c>
      <c r="C91" s="75" t="n">
        <v>0</v>
      </c>
      <c r="D91" s="75" t="n">
        <v>0</v>
      </c>
      <c r="E91" s="77" t="str">
        <f aca="false">IF(C91&gt;0,1/C91,"not observed")</f>
        <v>not observed</v>
      </c>
    </row>
    <row r="94" customFormat="false" ht="15" hidden="false" customHeight="false" outlineLevel="0" collapsed="false">
      <c r="B94" s="56" t="s">
        <v>316</v>
      </c>
    </row>
    <row r="95" customFormat="false" ht="15" hidden="false" customHeight="false" outlineLevel="0" collapsed="false">
      <c r="B95" s="56" t="s">
        <v>317</v>
      </c>
      <c r="C95" s="56" t="s">
        <v>318</v>
      </c>
      <c r="D95" s="56" t="s">
        <v>319</v>
      </c>
      <c r="E95" s="56" t="s">
        <v>320</v>
      </c>
      <c r="F95" s="56" t="s">
        <v>119</v>
      </c>
      <c r="G95" s="56" t="s">
        <v>321</v>
      </c>
      <c r="H95" s="56" t="s">
        <v>322</v>
      </c>
      <c r="I95" s="56" t="s">
        <v>323</v>
      </c>
    </row>
    <row r="96" customFormat="false" ht="15" hidden="false" customHeight="false" outlineLevel="0" collapsed="false">
      <c r="B96" s="0" t="s">
        <v>324</v>
      </c>
      <c r="C96" s="0" t="n">
        <v>0</v>
      </c>
      <c r="D96" s="0" t="s">
        <v>325</v>
      </c>
      <c r="E96" s="64" t="n">
        <v>5000000</v>
      </c>
      <c r="F96" s="67" t="n">
        <v>0.96467341</v>
      </c>
      <c r="G96" s="67" t="n">
        <v>0.00636040936840305</v>
      </c>
      <c r="H96" s="67" t="n">
        <v>0.336571</v>
      </c>
      <c r="I96" s="64" t="n">
        <v>3159.95</v>
      </c>
    </row>
    <row r="97" customFormat="false" ht="15" hidden="false" customHeight="false" outlineLevel="0" collapsed="false">
      <c r="B97" s="0" t="s">
        <v>324</v>
      </c>
      <c r="C97" s="0" t="n">
        <v>1</v>
      </c>
      <c r="D97" s="0" t="s">
        <v>326</v>
      </c>
      <c r="E97" s="64" t="n">
        <v>5000000</v>
      </c>
      <c r="F97" s="67" t="n">
        <v>0.96558492</v>
      </c>
      <c r="G97" s="67" t="n">
        <v>0.00635155868034873</v>
      </c>
      <c r="H97" s="67" t="n">
        <v>0.3367338</v>
      </c>
      <c r="I97" s="64" t="n">
        <v>3059.25</v>
      </c>
    </row>
    <row r="98" customFormat="false" ht="15" hidden="false" customHeight="false" outlineLevel="0" collapsed="false">
      <c r="B98" s="0" t="s">
        <v>324</v>
      </c>
      <c r="C98" s="0" t="n">
        <v>2</v>
      </c>
      <c r="D98" s="0" t="s">
        <v>327</v>
      </c>
      <c r="E98" s="64" t="n">
        <v>5000000</v>
      </c>
      <c r="F98" s="67" t="n">
        <v>0.97285884</v>
      </c>
      <c r="G98" s="67" t="n">
        <v>0.00641931772441704</v>
      </c>
      <c r="H98" s="67" t="n">
        <v>0.336402</v>
      </c>
      <c r="I98" s="64" t="n">
        <v>3174.25</v>
      </c>
    </row>
    <row r="99" customFormat="false" ht="15" hidden="false" customHeight="false" outlineLevel="0" collapsed="false">
      <c r="B99" s="0" t="s">
        <v>324</v>
      </c>
      <c r="C99" s="0" t="n">
        <v>3</v>
      </c>
      <c r="D99" s="0" t="s">
        <v>328</v>
      </c>
      <c r="E99" s="64" t="n">
        <v>5000000</v>
      </c>
      <c r="F99" s="67" t="n">
        <v>0.96061195</v>
      </c>
      <c r="G99" s="67" t="n">
        <v>0.00639787482978246</v>
      </c>
      <c r="H99" s="67" t="n">
        <v>0.3364986</v>
      </c>
      <c r="I99" s="64" t="n">
        <v>4257.65</v>
      </c>
    </row>
    <row r="100" customFormat="false" ht="15" hidden="false" customHeight="false" outlineLevel="0" collapsed="false">
      <c r="B100" s="0" t="s">
        <v>324</v>
      </c>
      <c r="C100" s="0" t="n">
        <v>4</v>
      </c>
      <c r="D100" s="0" t="s">
        <v>329</v>
      </c>
      <c r="E100" s="64" t="n">
        <v>5000000</v>
      </c>
      <c r="F100" s="67" t="n">
        <v>0.96043537</v>
      </c>
      <c r="G100" s="67" t="n">
        <v>0.0063620917812739</v>
      </c>
      <c r="H100" s="67" t="n">
        <v>0.3366856</v>
      </c>
      <c r="I100" s="64" t="n">
        <v>3939.65</v>
      </c>
    </row>
    <row r="101" customFormat="false" ht="15" hidden="false" customHeight="false" outlineLevel="0" collapsed="false">
      <c r="B101" s="0" t="s">
        <v>324</v>
      </c>
      <c r="C101" s="0" t="n">
        <v>5</v>
      </c>
      <c r="D101" s="0" t="s">
        <v>330</v>
      </c>
      <c r="E101" s="64" t="n">
        <v>5000000</v>
      </c>
      <c r="F101" s="67" t="n">
        <v>0.95916583</v>
      </c>
      <c r="G101" s="67" t="n">
        <v>0.006330463644297</v>
      </c>
      <c r="H101" s="67" t="n">
        <v>0.336738</v>
      </c>
      <c r="I101" s="64" t="n">
        <v>4889.45</v>
      </c>
    </row>
    <row r="102" customFormat="false" ht="15" hidden="false" customHeight="false" outlineLevel="0" collapsed="false">
      <c r="B102" s="0" t="s">
        <v>324</v>
      </c>
      <c r="C102" s="0" t="n">
        <v>6</v>
      </c>
      <c r="D102" s="0" t="s">
        <v>331</v>
      </c>
      <c r="E102" s="64" t="n">
        <v>5000000</v>
      </c>
      <c r="F102" s="67" t="n">
        <v>0.95530933</v>
      </c>
      <c r="G102" s="67" t="n">
        <v>0.0063346311271465</v>
      </c>
      <c r="H102" s="67" t="n">
        <v>0.336462</v>
      </c>
      <c r="I102" s="64" t="n">
        <v>3078.55</v>
      </c>
    </row>
    <row r="103" customFormat="false" ht="15" hidden="false" customHeight="false" outlineLevel="0" collapsed="false">
      <c r="B103" s="0" t="s">
        <v>324</v>
      </c>
      <c r="C103" s="0" t="n">
        <v>7</v>
      </c>
      <c r="D103" s="0" t="s">
        <v>332</v>
      </c>
      <c r="E103" s="64" t="n">
        <v>5000000</v>
      </c>
      <c r="F103" s="67" t="n">
        <v>0.95848485</v>
      </c>
      <c r="G103" s="67" t="n">
        <v>0.00629761057646024</v>
      </c>
      <c r="H103" s="67" t="n">
        <v>0.3366672</v>
      </c>
      <c r="I103" s="64" t="n">
        <v>3451.4</v>
      </c>
    </row>
    <row r="104" customFormat="false" ht="15" hidden="false" customHeight="false" outlineLevel="0" collapsed="false">
      <c r="B104" s="0" t="s">
        <v>333</v>
      </c>
      <c r="C104" s="0" t="n">
        <v>0</v>
      </c>
      <c r="D104" s="0" t="s">
        <v>334</v>
      </c>
      <c r="E104" s="64" t="n">
        <v>500000</v>
      </c>
      <c r="F104" s="67" t="n">
        <v>0.962729159</v>
      </c>
      <c r="G104" s="67" t="n">
        <v>0.00267144737004744</v>
      </c>
      <c r="H104" s="67" t="n">
        <v>1</v>
      </c>
      <c r="I104" s="64" t="n">
        <v>5765.5</v>
      </c>
    </row>
    <row r="105" customFormat="false" ht="15" hidden="false" customHeight="false" outlineLevel="0" collapsed="false">
      <c r="B105" s="0" t="s">
        <v>333</v>
      </c>
      <c r="C105" s="0" t="n">
        <v>1</v>
      </c>
      <c r="D105" s="0" t="s">
        <v>335</v>
      </c>
      <c r="E105" s="64" t="n">
        <v>500000</v>
      </c>
      <c r="F105" s="67" t="n">
        <v>0.956328002</v>
      </c>
      <c r="G105" s="67" t="n">
        <v>0.00262669683461756</v>
      </c>
      <c r="H105" s="67" t="n">
        <v>1</v>
      </c>
      <c r="I105" s="64" t="n">
        <v>5750.45</v>
      </c>
    </row>
    <row r="106" customFormat="false" ht="15" hidden="false" customHeight="false" outlineLevel="0" collapsed="false">
      <c r="B106" s="0" t="s">
        <v>333</v>
      </c>
      <c r="C106" s="0" t="n">
        <v>2</v>
      </c>
      <c r="D106" s="0" t="s">
        <v>336</v>
      </c>
      <c r="E106" s="64" t="n">
        <v>500000</v>
      </c>
      <c r="F106" s="67" t="n">
        <v>0.959455845</v>
      </c>
      <c r="G106" s="67" t="n">
        <v>0.00266351750597038</v>
      </c>
      <c r="H106" s="67" t="n">
        <v>1</v>
      </c>
      <c r="I106" s="64" t="n">
        <v>6432.2</v>
      </c>
    </row>
    <row r="107" customFormat="false" ht="15" hidden="false" customHeight="false" outlineLevel="0" collapsed="false">
      <c r="B107" s="0" t="s">
        <v>333</v>
      </c>
      <c r="C107" s="0" t="n">
        <v>3</v>
      </c>
      <c r="D107" s="0" t="s">
        <v>337</v>
      </c>
      <c r="E107" s="64" t="n">
        <v>500000</v>
      </c>
      <c r="F107" s="67" t="n">
        <v>0.963563209</v>
      </c>
      <c r="G107" s="67" t="n">
        <v>0.00267163022936229</v>
      </c>
      <c r="H107" s="67" t="n">
        <v>1</v>
      </c>
      <c r="I107" s="64" t="n">
        <v>5620</v>
      </c>
    </row>
    <row r="108" customFormat="false" ht="15" hidden="false" customHeight="false" outlineLevel="0" collapsed="false">
      <c r="B108" s="0" t="s">
        <v>333</v>
      </c>
      <c r="C108" s="0" t="n">
        <v>4</v>
      </c>
      <c r="D108" s="0" t="s">
        <v>338</v>
      </c>
      <c r="E108" s="64" t="n">
        <v>500000</v>
      </c>
      <c r="F108" s="67" t="n">
        <v>0.959274834</v>
      </c>
      <c r="G108" s="67" t="n">
        <v>0.00265063039555037</v>
      </c>
      <c r="H108" s="67" t="n">
        <v>1</v>
      </c>
      <c r="I108" s="64" t="n">
        <v>5716.7</v>
      </c>
    </row>
    <row r="109" customFormat="false" ht="15" hidden="false" customHeight="false" outlineLevel="0" collapsed="false">
      <c r="B109" s="0" t="s">
        <v>333</v>
      </c>
      <c r="C109" s="0" t="n">
        <v>5</v>
      </c>
      <c r="D109" s="0" t="s">
        <v>339</v>
      </c>
      <c r="E109" s="64" t="n">
        <v>500000</v>
      </c>
      <c r="F109" s="67" t="n">
        <v>0.964096666</v>
      </c>
      <c r="G109" s="67" t="n">
        <v>0.00267124589902702</v>
      </c>
      <c r="H109" s="67" t="n">
        <v>1</v>
      </c>
      <c r="I109" s="64" t="n">
        <v>6582.15</v>
      </c>
    </row>
    <row r="110" customFormat="false" ht="15" hidden="false" customHeight="false" outlineLevel="0" collapsed="false">
      <c r="B110" s="0" t="s">
        <v>333</v>
      </c>
      <c r="C110" s="0" t="n">
        <v>6</v>
      </c>
      <c r="D110" s="0" t="s">
        <v>340</v>
      </c>
      <c r="E110" s="64" t="n">
        <v>500000</v>
      </c>
      <c r="F110" s="67" t="n">
        <v>0.959105937</v>
      </c>
      <c r="G110" s="67" t="n">
        <v>0.00266231189196175</v>
      </c>
      <c r="H110" s="67" t="n">
        <v>1</v>
      </c>
      <c r="I110" s="64" t="n">
        <v>5482.6</v>
      </c>
    </row>
    <row r="111" customFormat="false" ht="15" hidden="false" customHeight="false" outlineLevel="0" collapsed="false">
      <c r="B111" s="0" t="s">
        <v>333</v>
      </c>
      <c r="C111" s="0" t="n">
        <v>7</v>
      </c>
      <c r="D111" s="0" t="s">
        <v>341</v>
      </c>
      <c r="E111" s="64" t="n">
        <v>500000</v>
      </c>
      <c r="F111" s="67" t="n">
        <v>0.964250297</v>
      </c>
      <c r="G111" s="67" t="n">
        <v>0.00265766008518698</v>
      </c>
      <c r="H111" s="67" t="n">
        <v>1</v>
      </c>
      <c r="I111" s="64" t="n">
        <v>5613.4</v>
      </c>
    </row>
    <row r="112" customFormat="false" ht="15" hidden="false" customHeight="false" outlineLevel="0" collapsed="false">
      <c r="B112" s="0" t="s">
        <v>342</v>
      </c>
      <c r="C112" s="0" t="n">
        <v>0</v>
      </c>
      <c r="D112" s="0" t="s">
        <v>343</v>
      </c>
      <c r="E112" s="64" t="n">
        <v>1000000</v>
      </c>
      <c r="F112" s="67" t="n">
        <v>0.9607</v>
      </c>
      <c r="G112" s="67" t="n">
        <v>0.00480568190838497</v>
      </c>
      <c r="H112" s="67" t="n">
        <v>0.038428</v>
      </c>
      <c r="I112" s="64" t="n">
        <v>25000</v>
      </c>
    </row>
    <row r="113" customFormat="false" ht="15" hidden="false" customHeight="false" outlineLevel="0" collapsed="false">
      <c r="B113" s="0" t="s">
        <v>342</v>
      </c>
      <c r="C113" s="0" t="n">
        <v>1</v>
      </c>
      <c r="D113" s="0" t="s">
        <v>344</v>
      </c>
      <c r="E113" s="64" t="n">
        <v>1000000</v>
      </c>
      <c r="F113" s="67" t="n">
        <v>0.9609</v>
      </c>
      <c r="G113" s="67" t="n">
        <v>0.00480616211640788</v>
      </c>
      <c r="H113" s="67" t="n">
        <v>0.038436</v>
      </c>
      <c r="I113" s="64" t="n">
        <v>25000</v>
      </c>
    </row>
    <row r="114" customFormat="false" ht="15" hidden="false" customHeight="false" outlineLevel="0" collapsed="false">
      <c r="B114" s="0" t="s">
        <v>342</v>
      </c>
      <c r="C114" s="0" t="n">
        <v>2</v>
      </c>
      <c r="D114" s="0" t="s">
        <v>345</v>
      </c>
      <c r="E114" s="64" t="n">
        <v>1000000</v>
      </c>
      <c r="F114" s="67" t="n">
        <v>0.9562</v>
      </c>
      <c r="G114" s="67" t="n">
        <v>0.0047948623077941</v>
      </c>
      <c r="H114" s="67" t="n">
        <v>0.038248</v>
      </c>
      <c r="I114" s="64" t="n">
        <v>25000</v>
      </c>
    </row>
    <row r="115" customFormat="false" ht="15" hidden="false" customHeight="false" outlineLevel="0" collapsed="false">
      <c r="B115" s="0" t="s">
        <v>342</v>
      </c>
      <c r="C115" s="0" t="n">
        <v>3</v>
      </c>
      <c r="D115" s="0" t="s">
        <v>346</v>
      </c>
      <c r="E115" s="64" t="n">
        <v>1000000</v>
      </c>
      <c r="F115" s="67" t="n">
        <v>0.960875</v>
      </c>
      <c r="G115" s="67" t="n">
        <v>0.00480610209348411</v>
      </c>
      <c r="H115" s="67" t="n">
        <v>0.038435</v>
      </c>
      <c r="I115" s="64" t="n">
        <v>25000</v>
      </c>
    </row>
    <row r="117" customFormat="false" ht="15" hidden="false" customHeight="false" outlineLevel="0" collapsed="false">
      <c r="B117" s="0" t="s">
        <v>347</v>
      </c>
      <c r="C117" s="0" t="s">
        <v>348</v>
      </c>
      <c r="D117" s="0" t="s">
        <v>349</v>
      </c>
      <c r="E117" s="0" t="s">
        <v>350</v>
      </c>
    </row>
    <row r="118" customFormat="false" ht="15" hidden="false" customHeight="false" outlineLevel="0" collapsed="false">
      <c r="B118" s="0" t="s">
        <v>324</v>
      </c>
      <c r="C118" s="66" t="n">
        <f aca="false">STDEV(F96:F103)</f>
        <v>0.00544168737024714</v>
      </c>
      <c r="D118" s="66" t="n">
        <f aca="false">AVERAGE(G96:G103)</f>
        <v>0.00635674471651611</v>
      </c>
      <c r="E118" s="57" t="n">
        <f aca="false">C118/D118</f>
        <v>0.856049379505288</v>
      </c>
    </row>
    <row r="119" customFormat="false" ht="15" hidden="false" customHeight="false" outlineLevel="0" collapsed="false">
      <c r="B119" s="0" t="s">
        <v>333</v>
      </c>
      <c r="C119" s="66" t="n">
        <f aca="false">STDEV(F104:F111)</f>
        <v>0.00293765364901398</v>
      </c>
      <c r="D119" s="66" t="n">
        <f aca="false">AVERAGE(G104:G111)</f>
        <v>0.00265939252646547</v>
      </c>
      <c r="E119" s="57" t="n">
        <f aca="false">C119/D119</f>
        <v>1.10463334005015</v>
      </c>
    </row>
    <row r="120" customFormat="false" ht="15" hidden="false" customHeight="false" outlineLevel="0" collapsed="false">
      <c r="B120" s="0" t="s">
        <v>342</v>
      </c>
      <c r="C120" s="66" t="n">
        <f aca="false">STDEV(F112:F115)</f>
        <v>0.00231421107867596</v>
      </c>
      <c r="D120" s="66" t="n">
        <f aca="false">AVERAGE(G112:G115)</f>
        <v>0.00480320210651777</v>
      </c>
      <c r="E120" s="57" t="n">
        <f aca="false">C120/D120</f>
        <v>0.481805892684729</v>
      </c>
    </row>
    <row r="123" customFormat="false" ht="15" hidden="false" customHeight="false" outlineLevel="0" collapsed="false">
      <c r="B123" s="56" t="s">
        <v>351</v>
      </c>
    </row>
    <row r="124" customFormat="false" ht="15" hidden="false" customHeight="false" outlineLevel="0" collapsed="false">
      <c r="B124" s="0" t="s">
        <v>352</v>
      </c>
      <c r="C124" s="78" t="n">
        <v>0.000970714285714286</v>
      </c>
    </row>
    <row r="125" customFormat="false" ht="15" hidden="false" customHeight="false" outlineLevel="0" collapsed="false">
      <c r="B125" s="0" t="s">
        <v>353</v>
      </c>
      <c r="C125" s="78" t="n">
        <v>0.00735723214285714</v>
      </c>
    </row>
    <row r="126" customFormat="false" ht="15" hidden="false" customHeight="false" outlineLevel="0" collapsed="false">
      <c r="B126" s="0" t="s">
        <v>354</v>
      </c>
      <c r="C126" s="64" t="n">
        <v>80000</v>
      </c>
    </row>
    <row r="127" customFormat="false" ht="15" hidden="false" customHeight="false" outlineLevel="0" collapsed="false">
      <c r="B127" s="0" t="s">
        <v>355</v>
      </c>
      <c r="C127" s="64" t="n">
        <v>11200000</v>
      </c>
    </row>
    <row r="128" customFormat="false" ht="15" hidden="false" customHeight="false" outlineLevel="0" collapsed="false">
      <c r="B128" s="0" t="s">
        <v>356</v>
      </c>
      <c r="C128" s="64" t="n">
        <v>153547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6"/>
    <col collapsed="false" customWidth="true" hidden="false" outlineLevel="0" max="4" min="4" style="0" width="40"/>
    <col collapsed="false" customWidth="true" hidden="false" outlineLevel="0" max="5" min="5" style="0" width="30"/>
    <col collapsed="false" customWidth="true" hidden="false" outlineLevel="0" max="7" min="6" style="0" width="50"/>
  </cols>
  <sheetData>
    <row r="1" customFormat="false" ht="16.15" hidden="false" customHeight="false" outlineLevel="0" collapsed="false">
      <c r="A1" s="55" t="s">
        <v>357</v>
      </c>
    </row>
    <row r="3" customFormat="false" ht="15" hidden="false" customHeight="false" outlineLevel="0" collapsed="false">
      <c r="A3" s="79" t="s">
        <v>358</v>
      </c>
      <c r="B3" s="79" t="s">
        <v>359</v>
      </c>
      <c r="C3" s="79" t="s">
        <v>360</v>
      </c>
      <c r="D3" s="79" t="s">
        <v>361</v>
      </c>
      <c r="E3" s="79" t="s">
        <v>362</v>
      </c>
      <c r="F3" s="79" t="s">
        <v>363</v>
      </c>
      <c r="G3" s="79" t="s">
        <v>364</v>
      </c>
    </row>
    <row r="4" customFormat="false" ht="57.45" hidden="false" customHeight="false" outlineLevel="0" collapsed="false">
      <c r="A4" s="80" t="s">
        <v>365</v>
      </c>
      <c r="B4" s="80" t="s">
        <v>366</v>
      </c>
      <c r="C4" s="80" t="s">
        <v>367</v>
      </c>
      <c r="D4" s="80" t="s">
        <v>368</v>
      </c>
      <c r="E4" s="80" t="s">
        <v>369</v>
      </c>
      <c r="F4" s="80" t="s">
        <v>370</v>
      </c>
      <c r="G4" s="80" t="s">
        <v>371</v>
      </c>
    </row>
    <row r="5" customFormat="false" ht="57.45" hidden="false" customHeight="false" outlineLevel="0" collapsed="false">
      <c r="A5" s="80" t="s">
        <v>372</v>
      </c>
      <c r="B5" s="80" t="s">
        <v>373</v>
      </c>
      <c r="C5" s="80" t="s">
        <v>374</v>
      </c>
      <c r="D5" s="80" t="s">
        <v>375</v>
      </c>
      <c r="E5" s="80" t="s">
        <v>376</v>
      </c>
      <c r="F5" s="80" t="s">
        <v>377</v>
      </c>
      <c r="G5" s="80" t="s">
        <v>378</v>
      </c>
    </row>
    <row r="6" customFormat="false" ht="23.85" hidden="false" customHeight="false" outlineLevel="0" collapsed="false">
      <c r="A6" s="80" t="s">
        <v>379</v>
      </c>
      <c r="B6" s="80" t="s">
        <v>380</v>
      </c>
      <c r="C6" s="81" t="s">
        <v>103</v>
      </c>
      <c r="D6" s="80" t="s">
        <v>381</v>
      </c>
      <c r="E6" s="80" t="s">
        <v>382</v>
      </c>
      <c r="F6" s="80" t="s">
        <v>383</v>
      </c>
      <c r="G6" s="80" t="s">
        <v>384</v>
      </c>
    </row>
    <row r="7" customFormat="false" ht="23.85" hidden="false" customHeight="false" outlineLevel="0" collapsed="false">
      <c r="A7" s="80" t="s">
        <v>385</v>
      </c>
      <c r="B7" s="80" t="s">
        <v>386</v>
      </c>
      <c r="C7" s="80" t="s">
        <v>387</v>
      </c>
      <c r="D7" s="80" t="s">
        <v>388</v>
      </c>
      <c r="E7" s="80" t="s">
        <v>389</v>
      </c>
      <c r="F7" s="80" t="s">
        <v>390</v>
      </c>
      <c r="G7" s="80" t="s">
        <v>391</v>
      </c>
    </row>
    <row r="8" customFormat="false" ht="23.85" hidden="false" customHeight="false" outlineLevel="0" collapsed="false">
      <c r="A8" s="80" t="s">
        <v>392</v>
      </c>
      <c r="B8" s="80" t="s">
        <v>393</v>
      </c>
      <c r="C8" s="81" t="s">
        <v>103</v>
      </c>
      <c r="D8" s="80" t="s">
        <v>394</v>
      </c>
      <c r="E8" s="80" t="s">
        <v>395</v>
      </c>
      <c r="F8" s="80" t="s">
        <v>396</v>
      </c>
      <c r="G8" s="80" t="s">
        <v>397</v>
      </c>
    </row>
    <row r="9" customFormat="false" ht="23.85" hidden="false" customHeight="false" outlineLevel="0" collapsed="false">
      <c r="A9" s="80" t="s">
        <v>398</v>
      </c>
      <c r="B9" s="80" t="s">
        <v>399</v>
      </c>
      <c r="C9" s="80" t="s">
        <v>92</v>
      </c>
      <c r="D9" s="80" t="s">
        <v>400</v>
      </c>
      <c r="E9" s="80" t="s">
        <v>401</v>
      </c>
      <c r="F9" s="80" t="s">
        <v>402</v>
      </c>
      <c r="G9" s="80" t="s">
        <v>403</v>
      </c>
    </row>
    <row r="10" customFormat="false" ht="35.05" hidden="false" customHeight="false" outlineLevel="0" collapsed="false">
      <c r="A10" s="80" t="s">
        <v>404</v>
      </c>
      <c r="B10" s="80" t="s">
        <v>405</v>
      </c>
      <c r="C10" s="81" t="s">
        <v>103</v>
      </c>
      <c r="D10" s="80" t="s">
        <v>406</v>
      </c>
      <c r="E10" s="80" t="s">
        <v>407</v>
      </c>
      <c r="F10" s="80" t="s">
        <v>408</v>
      </c>
      <c r="G10" s="80" t="s">
        <v>409</v>
      </c>
    </row>
    <row r="11" customFormat="false" ht="23.85" hidden="false" customHeight="false" outlineLevel="0" collapsed="false">
      <c r="A11" s="80" t="s">
        <v>410</v>
      </c>
      <c r="B11" s="80" t="s">
        <v>411</v>
      </c>
      <c r="C11" s="81" t="s">
        <v>103</v>
      </c>
      <c r="D11" s="80" t="s">
        <v>388</v>
      </c>
      <c r="E11" s="80" t="s">
        <v>412</v>
      </c>
      <c r="F11" s="80" t="s">
        <v>413</v>
      </c>
      <c r="G11" s="80" t="s">
        <v>414</v>
      </c>
    </row>
    <row r="12" customFormat="false" ht="23.85" hidden="false" customHeight="false" outlineLevel="0" collapsed="false">
      <c r="A12" s="80" t="s">
        <v>415</v>
      </c>
      <c r="B12" s="80" t="s">
        <v>416</v>
      </c>
      <c r="C12" s="81" t="s">
        <v>103</v>
      </c>
      <c r="D12" s="80" t="s">
        <v>417</v>
      </c>
      <c r="E12" s="80" t="s">
        <v>418</v>
      </c>
      <c r="F12" s="80" t="s">
        <v>419</v>
      </c>
      <c r="G12" s="80" t="s">
        <v>420</v>
      </c>
    </row>
    <row r="13" customFormat="false" ht="23.85" hidden="false" customHeight="false" outlineLevel="0" collapsed="false">
      <c r="A13" s="80" t="s">
        <v>421</v>
      </c>
      <c r="B13" s="80" t="s">
        <v>422</v>
      </c>
      <c r="C13" s="81" t="s">
        <v>103</v>
      </c>
      <c r="D13" s="80" t="s">
        <v>423</v>
      </c>
      <c r="E13" s="80" t="s">
        <v>424</v>
      </c>
      <c r="F13" s="80" t="s">
        <v>425</v>
      </c>
      <c r="G13" s="80" t="s">
        <v>426</v>
      </c>
    </row>
    <row r="14" customFormat="false" ht="35.05" hidden="false" customHeight="false" outlineLevel="0" collapsed="false">
      <c r="A14" s="80" t="s">
        <v>427</v>
      </c>
      <c r="B14" s="80" t="s">
        <v>428</v>
      </c>
      <c r="C14" s="81" t="s">
        <v>103</v>
      </c>
      <c r="D14" s="80" t="s">
        <v>429</v>
      </c>
      <c r="E14" s="80" t="s">
        <v>430</v>
      </c>
      <c r="F14" s="80" t="s">
        <v>431</v>
      </c>
      <c r="G14" s="80" t="s">
        <v>432</v>
      </c>
    </row>
    <row r="15" customFormat="false" ht="23.85" hidden="false" customHeight="false" outlineLevel="0" collapsed="false">
      <c r="A15" s="80" t="s">
        <v>433</v>
      </c>
      <c r="B15" s="80" t="s">
        <v>434</v>
      </c>
      <c r="C15" s="81" t="s">
        <v>435</v>
      </c>
      <c r="D15" s="80" t="s">
        <v>436</v>
      </c>
      <c r="E15" s="80" t="s">
        <v>437</v>
      </c>
      <c r="F15" s="80" t="s">
        <v>438</v>
      </c>
      <c r="G15" s="80" t="s">
        <v>439</v>
      </c>
    </row>
    <row r="16" customFormat="false" ht="35.05" hidden="false" customHeight="false" outlineLevel="0" collapsed="false">
      <c r="A16" s="80" t="s">
        <v>440</v>
      </c>
      <c r="B16" s="80" t="s">
        <v>441</v>
      </c>
      <c r="C16" s="81" t="s">
        <v>103</v>
      </c>
      <c r="D16" s="80" t="s">
        <v>442</v>
      </c>
      <c r="E16" s="80" t="s">
        <v>443</v>
      </c>
      <c r="F16" s="80" t="s">
        <v>444</v>
      </c>
      <c r="G16" s="80" t="s">
        <v>445</v>
      </c>
    </row>
    <row r="17" customFormat="false" ht="23.85" hidden="false" customHeight="false" outlineLevel="0" collapsed="false">
      <c r="A17" s="80" t="s">
        <v>446</v>
      </c>
      <c r="B17" s="80" t="s">
        <v>447</v>
      </c>
      <c r="C17" s="81" t="s">
        <v>103</v>
      </c>
      <c r="D17" s="80" t="s">
        <v>448</v>
      </c>
      <c r="E17" s="80" t="s">
        <v>449</v>
      </c>
      <c r="F17" s="80" t="s">
        <v>450</v>
      </c>
      <c r="G17" s="80" t="s">
        <v>451</v>
      </c>
    </row>
    <row r="18" customFormat="false" ht="46.25" hidden="false" customHeight="false" outlineLevel="0" collapsed="false">
      <c r="A18" s="80" t="s">
        <v>452</v>
      </c>
      <c r="B18" s="80" t="s">
        <v>453</v>
      </c>
      <c r="C18" s="81" t="s">
        <v>103</v>
      </c>
      <c r="D18" s="80" t="s">
        <v>454</v>
      </c>
      <c r="E18" s="80" t="s">
        <v>455</v>
      </c>
      <c r="F18" s="80" t="s">
        <v>456</v>
      </c>
      <c r="G18" s="80" t="s">
        <v>457</v>
      </c>
    </row>
    <row r="19" customFormat="false" ht="46.25" hidden="false" customHeight="false" outlineLevel="0" collapsed="false">
      <c r="A19" s="80" t="s">
        <v>458</v>
      </c>
      <c r="B19" s="80" t="s">
        <v>459</v>
      </c>
      <c r="C19" s="81" t="s">
        <v>103</v>
      </c>
      <c r="D19" s="80" t="s">
        <v>460</v>
      </c>
      <c r="E19" s="80" t="s">
        <v>461</v>
      </c>
      <c r="F19" s="80" t="s">
        <v>462</v>
      </c>
      <c r="G19" s="80" t="s">
        <v>463</v>
      </c>
    </row>
    <row r="20" customFormat="false" ht="35.05" hidden="false" customHeight="false" outlineLevel="0" collapsed="false">
      <c r="A20" s="80" t="s">
        <v>464</v>
      </c>
      <c r="B20" s="80" t="s">
        <v>465</v>
      </c>
      <c r="C20" s="81" t="s">
        <v>103</v>
      </c>
      <c r="D20" s="80" t="s">
        <v>466</v>
      </c>
      <c r="E20" s="80" t="s">
        <v>467</v>
      </c>
      <c r="F20" s="80" t="s">
        <v>468</v>
      </c>
      <c r="G20" s="80" t="s">
        <v>469</v>
      </c>
    </row>
    <row r="21" customFormat="false" ht="35.05" hidden="false" customHeight="false" outlineLevel="0" collapsed="false">
      <c r="A21" s="80" t="s">
        <v>470</v>
      </c>
      <c r="B21" s="80" t="s">
        <v>471</v>
      </c>
      <c r="C21" s="81" t="s">
        <v>472</v>
      </c>
      <c r="D21" s="80" t="s">
        <v>473</v>
      </c>
      <c r="E21" s="80" t="s">
        <v>474</v>
      </c>
      <c r="F21" s="80" t="s">
        <v>475</v>
      </c>
      <c r="G21" s="80" t="s">
        <v>476</v>
      </c>
    </row>
    <row r="22" customFormat="false" ht="35.05" hidden="false" customHeight="false" outlineLevel="0" collapsed="false">
      <c r="A22" s="80" t="s">
        <v>477</v>
      </c>
      <c r="B22" s="80" t="s">
        <v>478</v>
      </c>
      <c r="C22" s="81" t="s">
        <v>103</v>
      </c>
      <c r="D22" s="80" t="s">
        <v>479</v>
      </c>
      <c r="E22" s="80" t="s">
        <v>480</v>
      </c>
      <c r="F22" s="80" t="s">
        <v>481</v>
      </c>
      <c r="G22" s="80" t="s">
        <v>482</v>
      </c>
    </row>
    <row r="23" customFormat="false" ht="23.85" hidden="false" customHeight="false" outlineLevel="0" collapsed="false">
      <c r="A23" s="80" t="s">
        <v>483</v>
      </c>
      <c r="B23" s="80" t="s">
        <v>484</v>
      </c>
      <c r="C23" s="81" t="s">
        <v>103</v>
      </c>
      <c r="D23" s="80" t="s">
        <v>485</v>
      </c>
      <c r="E23" s="80" t="s">
        <v>486</v>
      </c>
      <c r="F23" s="80" t="s">
        <v>487</v>
      </c>
      <c r="G23" s="80" t="s">
        <v>488</v>
      </c>
    </row>
    <row r="24" customFormat="false" ht="35.05" hidden="false" customHeight="false" outlineLevel="0" collapsed="false">
      <c r="A24" s="80" t="s">
        <v>489</v>
      </c>
      <c r="B24" s="80" t="s">
        <v>490</v>
      </c>
      <c r="C24" s="81" t="s">
        <v>491</v>
      </c>
      <c r="D24" s="80" t="s">
        <v>492</v>
      </c>
      <c r="E24" s="80" t="s">
        <v>493</v>
      </c>
      <c r="F24" s="80" t="s">
        <v>494</v>
      </c>
      <c r="G24" s="80" t="s">
        <v>495</v>
      </c>
    </row>
    <row r="25" customFormat="false" ht="23.85" hidden="false" customHeight="false" outlineLevel="0" collapsed="false">
      <c r="A25" s="80" t="s">
        <v>496</v>
      </c>
      <c r="B25" s="80" t="s">
        <v>497</v>
      </c>
      <c r="C25" s="80" t="s">
        <v>498</v>
      </c>
      <c r="D25" s="80" t="s">
        <v>499</v>
      </c>
      <c r="E25" s="80" t="s">
        <v>500</v>
      </c>
      <c r="F25" s="80" t="s">
        <v>403</v>
      </c>
      <c r="G25" s="80" t="s">
        <v>501</v>
      </c>
    </row>
    <row r="26" customFormat="false" ht="23.85" hidden="false" customHeight="false" outlineLevel="0" collapsed="false">
      <c r="A26" s="80" t="s">
        <v>502</v>
      </c>
      <c r="B26" s="80" t="s">
        <v>503</v>
      </c>
      <c r="C26" s="81" t="s">
        <v>103</v>
      </c>
      <c r="D26" s="80" t="s">
        <v>388</v>
      </c>
      <c r="E26" s="80" t="s">
        <v>504</v>
      </c>
      <c r="F26" s="80" t="s">
        <v>505</v>
      </c>
      <c r="G26" s="80" t="s">
        <v>403</v>
      </c>
    </row>
    <row r="27" customFormat="false" ht="23.85" hidden="false" customHeight="false" outlineLevel="0" collapsed="false">
      <c r="A27" s="80" t="s">
        <v>506</v>
      </c>
      <c r="B27" s="80" t="s">
        <v>507</v>
      </c>
      <c r="C27" s="80" t="s">
        <v>508</v>
      </c>
      <c r="D27" s="80" t="s">
        <v>509</v>
      </c>
      <c r="E27" s="80" t="s">
        <v>510</v>
      </c>
      <c r="F27" s="80" t="s">
        <v>511</v>
      </c>
      <c r="G27" s="80" t="s">
        <v>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5"/>
    <col collapsed="false" customWidth="true" hidden="false" outlineLevel="0" max="3" min="3" style="0" width="55"/>
    <col collapsed="false" customWidth="true" hidden="false" outlineLevel="0" max="4" min="4" style="0" width="32"/>
    <col collapsed="false" customWidth="true" hidden="false" outlineLevel="0" max="5" min="5" style="0" width="18"/>
  </cols>
  <sheetData>
    <row r="1" customFormat="false" ht="16.15" hidden="false" customHeight="false" outlineLevel="0" collapsed="false">
      <c r="A1" s="55" t="s">
        <v>513</v>
      </c>
    </row>
    <row r="3" customFormat="false" ht="15" hidden="false" customHeight="false" outlineLevel="0" collapsed="false">
      <c r="A3" s="79" t="s">
        <v>514</v>
      </c>
      <c r="B3" s="79" t="s">
        <v>515</v>
      </c>
      <c r="C3" s="79" t="s">
        <v>516</v>
      </c>
      <c r="D3" s="79" t="s">
        <v>517</v>
      </c>
      <c r="E3" s="79" t="s">
        <v>360</v>
      </c>
    </row>
    <row r="4" customFormat="false" ht="23.85" hidden="false" customHeight="false" outlineLevel="0" collapsed="false">
      <c r="A4" s="80" t="s">
        <v>518</v>
      </c>
      <c r="B4" s="80" t="s">
        <v>519</v>
      </c>
      <c r="C4" s="80" t="s">
        <v>520</v>
      </c>
      <c r="D4" s="80" t="s">
        <v>521</v>
      </c>
      <c r="E4" s="80" t="s">
        <v>92</v>
      </c>
    </row>
    <row r="5" customFormat="false" ht="15" hidden="false" customHeight="false" outlineLevel="0" collapsed="false">
      <c r="A5" s="80" t="s">
        <v>522</v>
      </c>
      <c r="B5" s="80" t="s">
        <v>523</v>
      </c>
      <c r="C5" s="80" t="s">
        <v>524</v>
      </c>
      <c r="D5" s="80" t="s">
        <v>525</v>
      </c>
      <c r="E5" s="80" t="s">
        <v>92</v>
      </c>
    </row>
    <row r="6" customFormat="false" ht="23.85" hidden="false" customHeight="false" outlineLevel="0" collapsed="false">
      <c r="A6" s="80" t="s">
        <v>526</v>
      </c>
      <c r="B6" s="80" t="s">
        <v>527</v>
      </c>
      <c r="C6" s="80" t="s">
        <v>528</v>
      </c>
      <c r="D6" s="80" t="s">
        <v>529</v>
      </c>
      <c r="E6" s="80" t="s">
        <v>92</v>
      </c>
    </row>
    <row r="7" customFormat="false" ht="15" hidden="false" customHeight="false" outlineLevel="0" collapsed="false">
      <c r="A7" s="80" t="s">
        <v>530</v>
      </c>
      <c r="B7" s="80" t="s">
        <v>531</v>
      </c>
      <c r="C7" s="80" t="s">
        <v>532</v>
      </c>
      <c r="D7" s="80" t="s">
        <v>533</v>
      </c>
      <c r="E7" s="80" t="s">
        <v>92</v>
      </c>
    </row>
    <row r="8" customFormat="false" ht="35.05" hidden="false" customHeight="false" outlineLevel="0" collapsed="false">
      <c r="A8" s="80" t="s">
        <v>534</v>
      </c>
      <c r="B8" s="80" t="s">
        <v>535</v>
      </c>
      <c r="C8" s="80" t="s">
        <v>536</v>
      </c>
      <c r="D8" s="80" t="s">
        <v>537</v>
      </c>
      <c r="E8" s="80" t="s">
        <v>538</v>
      </c>
    </row>
    <row r="9" customFormat="false" ht="15" hidden="false" customHeight="false" outlineLevel="0" collapsed="false">
      <c r="A9" s="80" t="s">
        <v>539</v>
      </c>
      <c r="B9" s="80" t="s">
        <v>540</v>
      </c>
      <c r="C9" s="80" t="s">
        <v>541</v>
      </c>
      <c r="D9" s="80" t="s">
        <v>542</v>
      </c>
      <c r="E9" s="80" t="s">
        <v>92</v>
      </c>
    </row>
    <row r="10" customFormat="false" ht="15" hidden="false" customHeight="false" outlineLevel="0" collapsed="false">
      <c r="A10" s="80" t="s">
        <v>543</v>
      </c>
      <c r="B10" s="80" t="s">
        <v>544</v>
      </c>
      <c r="C10" s="80" t="s">
        <v>545</v>
      </c>
      <c r="D10" s="80" t="s">
        <v>546</v>
      </c>
      <c r="E10" s="80" t="s">
        <v>103</v>
      </c>
    </row>
    <row r="11" customFormat="false" ht="15" hidden="false" customHeight="false" outlineLevel="0" collapsed="false">
      <c r="A11" s="80" t="s">
        <v>547</v>
      </c>
      <c r="B11" s="80" t="s">
        <v>548</v>
      </c>
      <c r="C11" s="80" t="s">
        <v>549</v>
      </c>
      <c r="D11" s="80" t="s">
        <v>550</v>
      </c>
      <c r="E11" s="80" t="s">
        <v>92</v>
      </c>
    </row>
    <row r="12" customFormat="false" ht="35.05" hidden="false" customHeight="false" outlineLevel="0" collapsed="false">
      <c r="A12" s="80" t="s">
        <v>551</v>
      </c>
      <c r="B12" s="80" t="s">
        <v>552</v>
      </c>
      <c r="C12" s="80" t="s">
        <v>553</v>
      </c>
      <c r="D12" s="80" t="s">
        <v>554</v>
      </c>
      <c r="E12" s="80" t="s">
        <v>555</v>
      </c>
    </row>
    <row r="13" customFormat="false" ht="15" hidden="false" customHeight="false" outlineLevel="0" collapsed="false">
      <c r="A13" s="80" t="s">
        <v>556</v>
      </c>
      <c r="B13" s="80" t="s">
        <v>557</v>
      </c>
      <c r="C13" s="80" t="s">
        <v>558</v>
      </c>
      <c r="D13" s="80" t="s">
        <v>559</v>
      </c>
      <c r="E13" s="80" t="s">
        <v>92</v>
      </c>
    </row>
    <row r="14" customFormat="false" ht="15" hidden="false" customHeight="false" outlineLevel="0" collapsed="false">
      <c r="A14" s="80" t="s">
        <v>323</v>
      </c>
      <c r="B14" s="80" t="s">
        <v>560</v>
      </c>
      <c r="C14" s="80" t="s">
        <v>561</v>
      </c>
      <c r="D14" s="80" t="s">
        <v>562</v>
      </c>
      <c r="E14" s="80" t="s">
        <v>563</v>
      </c>
    </row>
    <row r="15" customFormat="false" ht="15" hidden="false" customHeight="false" outlineLevel="0" collapsed="false">
      <c r="A15" s="80" t="s">
        <v>101</v>
      </c>
      <c r="B15" s="80" t="s">
        <v>564</v>
      </c>
      <c r="C15" s="80" t="s">
        <v>565</v>
      </c>
      <c r="D15" s="80" t="s">
        <v>566</v>
      </c>
      <c r="E15" s="80" t="s">
        <v>92</v>
      </c>
    </row>
    <row r="16" customFormat="false" ht="23.85" hidden="false" customHeight="false" outlineLevel="0" collapsed="false">
      <c r="A16" s="80" t="s">
        <v>107</v>
      </c>
      <c r="B16" s="80" t="s">
        <v>567</v>
      </c>
      <c r="C16" s="80" t="s">
        <v>568</v>
      </c>
      <c r="D16" s="80" t="s">
        <v>569</v>
      </c>
      <c r="E16" s="80" t="s">
        <v>570</v>
      </c>
    </row>
    <row r="17" customFormat="false" ht="15" hidden="false" customHeight="false" outlineLevel="0" collapsed="false">
      <c r="A17" s="80" t="s">
        <v>571</v>
      </c>
      <c r="B17" s="80" t="s">
        <v>572</v>
      </c>
      <c r="C17" s="80" t="s">
        <v>500</v>
      </c>
      <c r="D17" s="80" t="s">
        <v>573</v>
      </c>
      <c r="E17" s="80" t="s">
        <v>574</v>
      </c>
    </row>
    <row r="18" customFormat="false" ht="15" hidden="false" customHeight="false" outlineLevel="0" collapsed="false">
      <c r="A18" s="80" t="s">
        <v>575</v>
      </c>
      <c r="B18" s="80" t="s">
        <v>576</v>
      </c>
      <c r="C18" s="80" t="s">
        <v>577</v>
      </c>
      <c r="D18" s="80" t="s">
        <v>578</v>
      </c>
      <c r="E18" s="80" t="s">
        <v>579</v>
      </c>
    </row>
    <row r="19" customFormat="false" ht="23.85" hidden="false" customHeight="false" outlineLevel="0" collapsed="false">
      <c r="A19" s="80" t="s">
        <v>580</v>
      </c>
      <c r="B19" s="80" t="s">
        <v>581</v>
      </c>
      <c r="C19" s="80" t="s">
        <v>582</v>
      </c>
      <c r="D19" s="80" t="s">
        <v>583</v>
      </c>
      <c r="E19" s="80" t="s">
        <v>584</v>
      </c>
    </row>
    <row r="20" customFormat="false" ht="15" hidden="false" customHeight="false" outlineLevel="0" collapsed="false">
      <c r="A20" s="80" t="s">
        <v>580</v>
      </c>
      <c r="B20" s="80" t="s">
        <v>585</v>
      </c>
      <c r="C20" s="80" t="s">
        <v>586</v>
      </c>
      <c r="D20" s="80" t="s">
        <v>587</v>
      </c>
      <c r="E20" s="80" t="s">
        <v>584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3" min="3" style="0" width="50"/>
  </cols>
  <sheetData>
    <row r="1" customFormat="false" ht="16.15" hidden="false" customHeight="false" outlineLevel="0" collapsed="false">
      <c r="A1" s="55" t="s">
        <v>588</v>
      </c>
    </row>
    <row r="3" customFormat="false" ht="15" hidden="false" customHeight="false" outlineLevel="0" collapsed="false">
      <c r="A3" s="79" t="s">
        <v>589</v>
      </c>
      <c r="B3" s="79" t="s">
        <v>590</v>
      </c>
      <c r="C3" s="79" t="s">
        <v>591</v>
      </c>
    </row>
    <row r="4" customFormat="false" ht="15" hidden="false" customHeight="false" outlineLevel="0" collapsed="false">
      <c r="A4" s="0" t="s">
        <v>592</v>
      </c>
      <c r="B4" s="0" t="str">
        <f aca="false">IF(COUNTIF(Calc!B19:U19,"OK")=20,"PASS","FAIL")</f>
        <v>PASS</v>
      </c>
      <c r="C4" s="0" t="s">
        <v>593</v>
      </c>
    </row>
    <row r="5" customFormat="false" ht="15" hidden="false" customHeight="false" outlineLevel="0" collapsed="false">
      <c r="A5" s="0" t="s">
        <v>594</v>
      </c>
      <c r="B5" s="0" t="str">
        <f aca="false">IF(SUMPRODUCT(ABS(Calc!B36:F36-1))&lt;0.000000000001,"PASS","FAIL")</f>
        <v>PASS</v>
      </c>
      <c r="C5" s="0" t="s">
        <v>595</v>
      </c>
    </row>
    <row r="6" customFormat="false" ht="15" hidden="false" customHeight="false" outlineLevel="0" collapsed="false">
      <c r="A6" s="0" t="s">
        <v>596</v>
      </c>
      <c r="B6" s="0" t="str">
        <f aca="false">IF(SUMPRODUCT(ABS(Calc!G36:K36-1))&lt;0.000000000001,"PASS","FAIL")</f>
        <v>PASS</v>
      </c>
      <c r="C6" s="0" t="s">
        <v>595</v>
      </c>
    </row>
    <row r="7" customFormat="false" ht="15" hidden="false" customHeight="false" outlineLevel="0" collapsed="false">
      <c r="A7" s="0" t="s">
        <v>597</v>
      </c>
      <c r="B7" s="0" t="str">
        <f aca="false">IF(ABS(SUM(PAR!J16:J18)-1)&lt;0.000000000001,"PASS","FAIL")</f>
        <v>PASS</v>
      </c>
      <c r="C7" s="0" t="s">
        <v>598</v>
      </c>
    </row>
    <row r="8" customFormat="false" ht="15" hidden="false" customHeight="false" outlineLevel="0" collapsed="false">
      <c r="A8" s="0" t="s">
        <v>599</v>
      </c>
      <c r="B8" s="0" t="str">
        <f aca="false">IF(Calc!C79=40,"PASS","FAIL")</f>
        <v>PASS</v>
      </c>
      <c r="C8" s="0" t="s">
        <v>600</v>
      </c>
    </row>
    <row r="9" customFormat="false" ht="15" hidden="false" customHeight="false" outlineLevel="0" collapsed="false">
      <c r="A9" s="0" t="s">
        <v>601</v>
      </c>
      <c r="B9" s="0" t="str">
        <f aca="false">IF(Calc!C96="OK","PASS","FAIL")</f>
        <v>PASS</v>
      </c>
      <c r="C9" s="0" t="s">
        <v>602</v>
      </c>
    </row>
    <row r="10" customFormat="false" ht="15" hidden="false" customHeight="false" outlineLevel="0" collapsed="false">
      <c r="A10" s="0" t="s">
        <v>603</v>
      </c>
      <c r="B10" s="0" t="str">
        <f aca="false">IF(ABS(Calc!C95-0.629324630047967)&lt;0.000000001,"PASS","FAIL")</f>
        <v>PASS</v>
      </c>
      <c r="C10" s="0" t="s">
        <v>604</v>
      </c>
    </row>
    <row r="11" customFormat="false" ht="15" hidden="false" customHeight="false" outlineLevel="0" collapsed="false">
      <c r="A11" s="0" t="s">
        <v>605</v>
      </c>
      <c r="B11" s="0" t="str">
        <f aca="false">IF(ABS('FS Analysis'!H21-1)&lt;0.000000001,"PASS","FAIL")</f>
        <v>PASS</v>
      </c>
      <c r="C11" s="0" t="s">
        <v>606</v>
      </c>
    </row>
    <row r="12" customFormat="false" ht="15" hidden="false" customHeight="false" outlineLevel="0" collapsed="false">
      <c r="A12" s="0" t="s">
        <v>607</v>
      </c>
      <c r="B12" s="0" t="str">
        <f aca="false">IF(ABS('FS Analysis'!B19-Calc!C88)&lt;0.000000001,"PASS","FAIL")</f>
        <v>PASS</v>
      </c>
      <c r="C12" s="0" t="s">
        <v>587</v>
      </c>
    </row>
    <row r="13" customFormat="false" ht="15" hidden="false" customHeight="false" outlineLevel="0" collapsed="false">
      <c r="A13" s="0" t="s">
        <v>608</v>
      </c>
      <c r="B13" s="0" t="str">
        <f aca="false">IF(ABS('FS Analysis'!D19-Calc!C84)&lt;0.000001,"PASS","FAIL")</f>
        <v>PASS</v>
      </c>
      <c r="C13" s="0" t="s">
        <v>587</v>
      </c>
    </row>
    <row r="14" customFormat="false" ht="15" hidden="false" customHeight="false" outlineLevel="0" collapsed="false">
      <c r="A14" s="0" t="s">
        <v>609</v>
      </c>
      <c r="B14" s="0" t="str">
        <f aca="false">IF(ABS('FS Analysis'!L18-1)&lt;0.000000001,"PASS","FAIL")</f>
        <v>PASS</v>
      </c>
      <c r="C14" s="0" t="s">
        <v>610</v>
      </c>
    </row>
    <row r="15" customFormat="false" ht="15" hidden="false" customHeight="false" outlineLevel="0" collapsed="false">
      <c r="A15" s="0" t="s">
        <v>611</v>
      </c>
      <c r="B15" s="0" t="str">
        <f aca="false">IF(ABS('FS Analysis'!O8-1)&lt;0.000000001,"PASS","FAIL")</f>
        <v>PASS</v>
      </c>
      <c r="C15" s="0" t="s">
        <v>612</v>
      </c>
    </row>
    <row r="16" customFormat="false" ht="15" hidden="false" customHeight="false" outlineLevel="0" collapsed="false">
      <c r="A16" s="0" t="s">
        <v>613</v>
      </c>
      <c r="B16" s="0" t="str">
        <f aca="false">IF(Simulation!C13="YES","PASS","FAIL")</f>
        <v>PASS</v>
      </c>
      <c r="C16" s="0" t="s">
        <v>614</v>
      </c>
    </row>
    <row r="17" customFormat="false" ht="15" hidden="false" customHeight="false" outlineLevel="0" collapsed="false">
      <c r="A17" s="0" t="s">
        <v>615</v>
      </c>
      <c r="B17" s="0" t="str">
        <f aca="false">IF(Simulation!D13="YES","PASS","FAIL")</f>
        <v>PASS</v>
      </c>
      <c r="C17" s="0" t="s">
        <v>614</v>
      </c>
    </row>
    <row r="18" customFormat="false" ht="15" hidden="false" customHeight="false" outlineLevel="0" collapsed="false">
      <c r="A18" s="0" t="s">
        <v>616</v>
      </c>
      <c r="B18" s="0" t="str">
        <f aca="false">IF(Simulation!E13="YES","PASS","FAIL")</f>
        <v>PASS</v>
      </c>
      <c r="C18" s="0" t="s">
        <v>614</v>
      </c>
    </row>
    <row r="19" customFormat="false" ht="15" hidden="false" customHeight="false" outlineLevel="0" collapsed="false">
      <c r="A19" s="0" t="s">
        <v>617</v>
      </c>
      <c r="B19" s="0" t="str">
        <f aca="false">IF(ABS(Simulation!D44)&lt;3*Simulation!C39,"PASS","FAIL")</f>
        <v>PASS</v>
      </c>
      <c r="C19" s="0" t="s">
        <v>618</v>
      </c>
    </row>
    <row r="20" customFormat="false" ht="15" hidden="false" customHeight="false" outlineLevel="0" collapsed="false">
      <c r="A20" s="0" t="s">
        <v>619</v>
      </c>
      <c r="B20" s="0" t="str">
        <f aca="false">IF(ABS(Simulation!C30-Calc!C75)&lt;3*SQRT(Calc!C75*(1-Calc!C75)/Simulation!C5),"PASS","FAIL")</f>
        <v>PASS</v>
      </c>
      <c r="C20" s="0" t="s">
        <v>620</v>
      </c>
    </row>
    <row r="21" customFormat="false" ht="15" hidden="false" customHeight="false" outlineLevel="0" collapsed="false">
      <c r="A21" s="0" t="s">
        <v>621</v>
      </c>
      <c r="B21" s="0" t="str">
        <f aca="false">IF(AND(Calc!C90&gt;=0.955,Calc!C90&lt;=0.965),"PASS","FAIL")</f>
        <v>PASS</v>
      </c>
      <c r="C21" s="0" t="s">
        <v>622</v>
      </c>
    </row>
    <row r="22" customFormat="false" ht="15" hidden="false" customHeight="false" outlineLevel="0" collapsed="false">
      <c r="A22" s="0" t="s">
        <v>623</v>
      </c>
      <c r="B22" s="0" t="str">
        <f aca="false">IF(AND(Calc!C92&gt;=0.955,Calc!C92&lt;=0.965),"PASS","FAIL")</f>
        <v>PASS</v>
      </c>
      <c r="C22" s="0" t="s">
        <v>624</v>
      </c>
    </row>
    <row r="23" customFormat="false" ht="15" hidden="false" customHeight="false" outlineLevel="0" collapsed="false">
      <c r="A23" s="0" t="s">
        <v>625</v>
      </c>
      <c r="B23" s="0" t="str">
        <f aca="false">IF(MAX(Simulation!C22:D22)&gt;=25000,"PASS","NOT OBSERVED - see Assumptions G-01")</f>
        <v>NOT OBSERVED - see Assumptions G-01</v>
      </c>
      <c r="C23" s="0" t="s">
        <v>626</v>
      </c>
    </row>
    <row r="25" customFormat="false" ht="15" hidden="false" customHeight="false" outlineLevel="0" collapsed="false">
      <c r="A25" s="56" t="s">
        <v>627</v>
      </c>
    </row>
    <row r="26" customFormat="false" ht="15" hidden="false" customHeight="false" outlineLevel="0" collapsed="false">
      <c r="A26" s="0" t="s">
        <v>628</v>
      </c>
      <c r="B26" s="0" t="s">
        <v>629</v>
      </c>
      <c r="C26" s="0" t="s">
        <v>630</v>
      </c>
    </row>
    <row r="27" customFormat="false" ht="15" hidden="false" customHeight="false" outlineLevel="0" collapsed="false">
      <c r="A27" s="0" t="s">
        <v>631</v>
      </c>
      <c r="B27" s="0" t="s">
        <v>629</v>
      </c>
    </row>
    <row r="28" customFormat="false" ht="15" hidden="false" customHeight="false" outlineLevel="0" collapsed="false">
      <c r="A28" s="0" t="s">
        <v>632</v>
      </c>
      <c r="B28" s="0" t="s">
        <v>629</v>
      </c>
    </row>
    <row r="29" customFormat="false" ht="15" hidden="false" customHeight="false" outlineLevel="0" collapsed="false">
      <c r="A29" s="0" t="s">
        <v>633</v>
      </c>
      <c r="B29" s="0" t="s">
        <v>629</v>
      </c>
      <c r="C29" s="0" t="s">
        <v>634</v>
      </c>
    </row>
    <row r="30" customFormat="false" ht="15" hidden="false" customHeight="false" outlineLevel="0" collapsed="false">
      <c r="A30" s="0" t="s">
        <v>635</v>
      </c>
      <c r="B30" s="0" t="s">
        <v>629</v>
      </c>
    </row>
    <row r="31" customFormat="false" ht="15" hidden="false" customHeight="false" outlineLevel="0" collapsed="false">
      <c r="A31" s="0" t="s">
        <v>636</v>
      </c>
      <c r="B31" s="0" t="s">
        <v>629</v>
      </c>
      <c r="C31" s="0" t="s">
        <v>637</v>
      </c>
    </row>
    <row r="32" customFormat="false" ht="15" hidden="false" customHeight="false" outlineLevel="0" collapsed="false">
      <c r="A32" s="0" t="s">
        <v>638</v>
      </c>
      <c r="B32" s="0" t="s">
        <v>629</v>
      </c>
      <c r="C32" s="0" t="s">
        <v>639</v>
      </c>
    </row>
    <row r="33" customFormat="false" ht="15" hidden="false" customHeight="false" outlineLevel="0" collapsed="false">
      <c r="A33" s="0" t="s">
        <v>640</v>
      </c>
      <c r="B33" s="0" t="s">
        <v>629</v>
      </c>
    </row>
    <row r="34" customFormat="false" ht="15" hidden="false" customHeight="false" outlineLevel="0" collapsed="false">
      <c r="A34" s="0" t="s">
        <v>641</v>
      </c>
      <c r="B34" s="0" t="s">
        <v>629</v>
      </c>
      <c r="C34" s="0" t="s">
        <v>642</v>
      </c>
    </row>
    <row r="35" customFormat="false" ht="15" hidden="false" customHeight="false" outlineLevel="0" collapsed="false">
      <c r="A35" s="0" t="s">
        <v>643</v>
      </c>
      <c r="B35" s="0" t="s">
        <v>629</v>
      </c>
    </row>
    <row r="36" customFormat="false" ht="15" hidden="false" customHeight="false" outlineLevel="0" collapsed="false">
      <c r="A36" s="0" t="s">
        <v>644</v>
      </c>
      <c r="B36" s="0" t="s">
        <v>629</v>
      </c>
      <c r="C36" s="0" t="s">
        <v>645</v>
      </c>
    </row>
    <row r="37" customFormat="false" ht="15" hidden="false" customHeight="false" outlineLevel="0" collapsed="false">
      <c r="A37" s="0" t="s">
        <v>646</v>
      </c>
      <c r="B37" s="0" t="s">
        <v>629</v>
      </c>
    </row>
    <row r="38" customFormat="false" ht="15" hidden="false" customHeight="false" outlineLevel="0" collapsed="false">
      <c r="A38" s="0" t="s">
        <v>647</v>
      </c>
      <c r="B38" s="0" t="s">
        <v>629</v>
      </c>
      <c r="C38" s="0" t="s">
        <v>648</v>
      </c>
    </row>
    <row r="39" customFormat="false" ht="15" hidden="false" customHeight="false" outlineLevel="0" collapsed="false">
      <c r="A39" s="0" t="s">
        <v>649</v>
      </c>
      <c r="B39" s="0" t="s">
        <v>629</v>
      </c>
    </row>
    <row r="40" customFormat="false" ht="15" hidden="false" customHeight="false" outlineLevel="0" collapsed="false">
      <c r="A40" s="0" t="s">
        <v>650</v>
      </c>
      <c r="B40" s="0" t="s">
        <v>629</v>
      </c>
    </row>
    <row r="41" customFormat="false" ht="15" hidden="false" customHeight="false" outlineLevel="0" collapsed="false">
      <c r="A41" s="0" t="s">
        <v>651</v>
      </c>
      <c r="B41" s="0" t="s">
        <v>629</v>
      </c>
      <c r="C41" s="0" t="s">
        <v>652</v>
      </c>
    </row>
    <row r="42" customFormat="false" ht="15" hidden="false" customHeight="false" outlineLevel="0" collapsed="false">
      <c r="A42" s="0" t="s">
        <v>653</v>
      </c>
      <c r="B42" s="0" t="s">
        <v>629</v>
      </c>
      <c r="C42" s="0" t="s">
        <v>654</v>
      </c>
    </row>
    <row r="43" customFormat="false" ht="15" hidden="false" customHeight="false" outlineLevel="0" collapsed="false">
      <c r="A43" s="0" t="s">
        <v>655</v>
      </c>
      <c r="B43" s="0" t="s">
        <v>629</v>
      </c>
    </row>
    <row r="44" customFormat="false" ht="15" hidden="false" customHeight="false" outlineLevel="0" collapsed="false">
      <c r="A44" s="0" t="s">
        <v>656</v>
      </c>
      <c r="B44" s="0" t="s">
        <v>629</v>
      </c>
      <c r="C44" s="0" t="s">
        <v>648</v>
      </c>
    </row>
    <row r="45" customFormat="false" ht="15" hidden="false" customHeight="false" outlineLevel="0" collapsed="false">
      <c r="A45" s="0" t="s">
        <v>657</v>
      </c>
      <c r="B45" s="0" t="s">
        <v>629</v>
      </c>
    </row>
    <row r="46" customFormat="false" ht="15" hidden="false" customHeight="false" outlineLevel="0" collapsed="false">
      <c r="A46" s="0" t="s">
        <v>658</v>
      </c>
      <c r="B46" s="0" t="s">
        <v>629</v>
      </c>
    </row>
    <row r="47" customFormat="false" ht="15" hidden="false" customHeight="false" outlineLevel="0" collapsed="false">
      <c r="A47" s="0" t="s">
        <v>659</v>
      </c>
      <c r="B47" s="0" t="s">
        <v>629</v>
      </c>
      <c r="C47" s="0" t="s">
        <v>642</v>
      </c>
    </row>
    <row r="48" customFormat="false" ht="15" hidden="false" customHeight="false" outlineLevel="0" collapsed="false">
      <c r="A48" s="0" t="s">
        <v>660</v>
      </c>
      <c r="B48" s="0" t="s">
        <v>629</v>
      </c>
    </row>
    <row r="49" customFormat="false" ht="15" hidden="false" customHeight="false" outlineLevel="0" collapsed="false">
      <c r="A49" s="0" t="s">
        <v>661</v>
      </c>
      <c r="B49" s="0" t="s">
        <v>629</v>
      </c>
      <c r="C49" s="0" t="s">
        <v>645</v>
      </c>
    </row>
    <row r="50" customFormat="false" ht="15" hidden="false" customHeight="false" outlineLevel="0" collapsed="false">
      <c r="A50" s="0" t="s">
        <v>662</v>
      </c>
      <c r="B50" s="0" t="s">
        <v>629</v>
      </c>
    </row>
    <row r="51" customFormat="false" ht="15" hidden="false" customHeight="false" outlineLevel="0" collapsed="false">
      <c r="A51" s="0" t="s">
        <v>663</v>
      </c>
      <c r="B51" s="0" t="s">
        <v>629</v>
      </c>
      <c r="C51" s="0" t="s">
        <v>664</v>
      </c>
    </row>
    <row r="52" customFormat="false" ht="15" hidden="false" customHeight="false" outlineLevel="0" collapsed="false">
      <c r="A52" s="0" t="s">
        <v>665</v>
      </c>
      <c r="B52" s="0" t="s">
        <v>629</v>
      </c>
    </row>
    <row r="53" customFormat="false" ht="15" hidden="false" customHeight="false" outlineLevel="0" collapsed="false">
      <c r="A53" s="0" t="s">
        <v>666</v>
      </c>
      <c r="B53" s="0" t="s">
        <v>629</v>
      </c>
    </row>
    <row r="54" customFormat="false" ht="15" hidden="false" customHeight="false" outlineLevel="0" collapsed="false">
      <c r="A54" s="0" t="s">
        <v>667</v>
      </c>
      <c r="B54" s="0" t="s">
        <v>629</v>
      </c>
      <c r="C54" s="0" t="s">
        <v>648</v>
      </c>
    </row>
    <row r="55" customFormat="false" ht="15" hidden="false" customHeight="false" outlineLevel="0" collapsed="false">
      <c r="A55" s="0" t="s">
        <v>668</v>
      </c>
      <c r="B55" s="0" t="s">
        <v>629</v>
      </c>
    </row>
    <row r="56" customFormat="false" ht="15" hidden="false" customHeight="false" outlineLevel="0" collapsed="false">
      <c r="A56" s="0" t="s">
        <v>669</v>
      </c>
      <c r="B56" s="0" t="s">
        <v>629</v>
      </c>
    </row>
    <row r="57" customFormat="false" ht="15" hidden="false" customHeight="false" outlineLevel="0" collapsed="false">
      <c r="A57" s="0" t="s">
        <v>670</v>
      </c>
      <c r="B57" s="0" t="s">
        <v>629</v>
      </c>
      <c r="C57" s="0" t="s">
        <v>648</v>
      </c>
    </row>
    <row r="58" customFormat="false" ht="15" hidden="false" customHeight="false" outlineLevel="0" collapsed="false">
      <c r="A58" s="0" t="s">
        <v>671</v>
      </c>
      <c r="B58" s="0" t="s">
        <v>629</v>
      </c>
    </row>
    <row r="59" customFormat="false" ht="15" hidden="false" customHeight="false" outlineLevel="0" collapsed="false">
      <c r="A59" s="0" t="s">
        <v>672</v>
      </c>
      <c r="B59" s="0" t="s">
        <v>629</v>
      </c>
      <c r="C59" s="0" t="s">
        <v>648</v>
      </c>
    </row>
    <row r="60" customFormat="false" ht="15" hidden="false" customHeight="false" outlineLevel="0" collapsed="false">
      <c r="A60" s="0" t="s">
        <v>673</v>
      </c>
      <c r="B60" s="0" t="s">
        <v>629</v>
      </c>
    </row>
    <row r="61" customFormat="false" ht="15" hidden="false" customHeight="false" outlineLevel="0" collapsed="false">
      <c r="A61" s="0" t="s">
        <v>674</v>
      </c>
      <c r="B61" s="0" t="s">
        <v>629</v>
      </c>
    </row>
    <row r="62" customFormat="false" ht="15" hidden="false" customHeight="false" outlineLevel="0" collapsed="false">
      <c r="A62" s="0" t="s">
        <v>675</v>
      </c>
      <c r="B62" s="0" t="s">
        <v>629</v>
      </c>
      <c r="C62" s="0" t="s">
        <v>664</v>
      </c>
    </row>
    <row r="63" customFormat="false" ht="15" hidden="false" customHeight="false" outlineLevel="0" collapsed="false">
      <c r="A63" s="0" t="s">
        <v>676</v>
      </c>
      <c r="B63" s="0" t="s">
        <v>629</v>
      </c>
    </row>
    <row r="64" customFormat="false" ht="15" hidden="false" customHeight="false" outlineLevel="0" collapsed="false">
      <c r="A64" s="0" t="s">
        <v>677</v>
      </c>
      <c r="B64" s="0" t="s">
        <v>629</v>
      </c>
    </row>
    <row r="65" customFormat="false" ht="15" hidden="false" customHeight="false" outlineLevel="0" collapsed="false">
      <c r="A65" s="0" t="s">
        <v>678</v>
      </c>
      <c r="B65" s="0" t="s">
        <v>629</v>
      </c>
      <c r="C65" s="0" t="s">
        <v>642</v>
      </c>
    </row>
    <row r="66" customFormat="false" ht="15" hidden="false" customHeight="false" outlineLevel="0" collapsed="false">
      <c r="A66" s="0" t="s">
        <v>679</v>
      </c>
      <c r="B66" s="0" t="s">
        <v>629</v>
      </c>
    </row>
    <row r="67" customFormat="false" ht="15" hidden="false" customHeight="false" outlineLevel="0" collapsed="false">
      <c r="A67" s="0" t="s">
        <v>680</v>
      </c>
      <c r="B67" s="0" t="s">
        <v>629</v>
      </c>
      <c r="C67" s="0" t="s">
        <v>681</v>
      </c>
    </row>
    <row r="68" customFormat="false" ht="15" hidden="false" customHeight="false" outlineLevel="0" collapsed="false">
      <c r="A68" s="0" t="s">
        <v>682</v>
      </c>
      <c r="B68" s="0" t="s">
        <v>629</v>
      </c>
    </row>
    <row r="69" customFormat="false" ht="15" hidden="false" customHeight="false" outlineLevel="0" collapsed="false">
      <c r="A69" s="0" t="s">
        <v>683</v>
      </c>
      <c r="B69" s="0" t="s">
        <v>629</v>
      </c>
      <c r="C69" s="0" t="s">
        <v>664</v>
      </c>
    </row>
    <row r="70" customFormat="false" ht="15" hidden="false" customHeight="false" outlineLevel="0" collapsed="false">
      <c r="A70" s="0" t="s">
        <v>684</v>
      </c>
      <c r="B70" s="0" t="s">
        <v>629</v>
      </c>
    </row>
    <row r="71" customFormat="false" ht="15" hidden="false" customHeight="false" outlineLevel="0" collapsed="false">
      <c r="A71" s="0" t="s">
        <v>685</v>
      </c>
      <c r="B71" s="0" t="s">
        <v>629</v>
      </c>
    </row>
    <row r="72" customFormat="false" ht="15" hidden="false" customHeight="false" outlineLevel="0" collapsed="false">
      <c r="A72" s="0" t="s">
        <v>686</v>
      </c>
      <c r="B72" s="0" t="s">
        <v>629</v>
      </c>
      <c r="C72" s="0" t="s">
        <v>642</v>
      </c>
    </row>
    <row r="73" customFormat="false" ht="15" hidden="false" customHeight="false" outlineLevel="0" collapsed="false">
      <c r="A73" s="0" t="s">
        <v>687</v>
      </c>
      <c r="B73" s="0" t="s">
        <v>629</v>
      </c>
      <c r="C73" s="0" t="s">
        <v>681</v>
      </c>
    </row>
    <row r="74" customFormat="false" ht="15" hidden="false" customHeight="false" outlineLevel="0" collapsed="false">
      <c r="A74" s="0" t="s">
        <v>688</v>
      </c>
      <c r="B74" s="0" t="s">
        <v>629</v>
      </c>
    </row>
    <row r="75" customFormat="false" ht="15" hidden="false" customHeight="false" outlineLevel="0" collapsed="false">
      <c r="A75" s="0" t="s">
        <v>689</v>
      </c>
      <c r="B75" s="0" t="s">
        <v>629</v>
      </c>
      <c r="C75" s="0" t="s">
        <v>664</v>
      </c>
    </row>
    <row r="76" customFormat="false" ht="15" hidden="false" customHeight="false" outlineLevel="0" collapsed="false">
      <c r="A76" s="0" t="s">
        <v>690</v>
      </c>
      <c r="B76" s="0" t="s">
        <v>629</v>
      </c>
    </row>
    <row r="77" customFormat="false" ht="15" hidden="false" customHeight="false" outlineLevel="0" collapsed="false">
      <c r="A77" s="0" t="s">
        <v>691</v>
      </c>
      <c r="B77" s="0" t="s">
        <v>629</v>
      </c>
    </row>
    <row r="78" customFormat="false" ht="15" hidden="false" customHeight="false" outlineLevel="0" collapsed="false">
      <c r="A78" s="0" t="s">
        <v>692</v>
      </c>
      <c r="B78" s="0" t="s">
        <v>629</v>
      </c>
      <c r="C78" s="0" t="s">
        <v>642</v>
      </c>
    </row>
    <row r="79" customFormat="false" ht="15" hidden="false" customHeight="false" outlineLevel="0" collapsed="false">
      <c r="A79" s="0" t="s">
        <v>693</v>
      </c>
      <c r="B79" s="0" t="s">
        <v>629</v>
      </c>
    </row>
    <row r="80" customFormat="false" ht="15" hidden="false" customHeight="false" outlineLevel="0" collapsed="false">
      <c r="A80" s="0" t="s">
        <v>694</v>
      </c>
      <c r="B80" s="0" t="s">
        <v>629</v>
      </c>
      <c r="C80" s="0" t="s">
        <v>681</v>
      </c>
    </row>
    <row r="81" customFormat="false" ht="15" hidden="false" customHeight="false" outlineLevel="0" collapsed="false">
      <c r="A81" s="0" t="s">
        <v>695</v>
      </c>
      <c r="B81" s="0" t="s">
        <v>629</v>
      </c>
    </row>
    <row r="82" customFormat="false" ht="15" hidden="false" customHeight="false" outlineLevel="0" collapsed="false">
      <c r="A82" s="0" t="s">
        <v>696</v>
      </c>
      <c r="B82" s="0" t="s">
        <v>629</v>
      </c>
      <c r="C82" s="0" t="s">
        <v>664</v>
      </c>
    </row>
    <row r="83" customFormat="false" ht="15" hidden="false" customHeight="false" outlineLevel="0" collapsed="false">
      <c r="A83" s="0" t="s">
        <v>697</v>
      </c>
      <c r="B83" s="0" t="s">
        <v>629</v>
      </c>
    </row>
    <row r="84" customFormat="false" ht="15" hidden="false" customHeight="false" outlineLevel="0" collapsed="false">
      <c r="A84" s="0" t="s">
        <v>698</v>
      </c>
      <c r="B84" s="0" t="s">
        <v>629</v>
      </c>
    </row>
    <row r="85" customFormat="false" ht="15" hidden="false" customHeight="false" outlineLevel="0" collapsed="false">
      <c r="A85" s="0" t="s">
        <v>699</v>
      </c>
      <c r="B85" s="0" t="s">
        <v>629</v>
      </c>
      <c r="C85" s="0" t="s">
        <v>664</v>
      </c>
    </row>
    <row r="86" customFormat="false" ht="15" hidden="false" customHeight="false" outlineLevel="0" collapsed="false">
      <c r="A86" s="0" t="s">
        <v>700</v>
      </c>
      <c r="B86" s="0" t="s">
        <v>629</v>
      </c>
    </row>
    <row r="87" customFormat="false" ht="15" hidden="false" customHeight="false" outlineLevel="0" collapsed="false">
      <c r="A87" s="0" t="s">
        <v>701</v>
      </c>
      <c r="B87" s="0" t="s">
        <v>629</v>
      </c>
    </row>
    <row r="88" customFormat="false" ht="15" hidden="false" customHeight="false" outlineLevel="0" collapsed="false">
      <c r="A88" s="0" t="s">
        <v>702</v>
      </c>
      <c r="B88" s="0" t="s">
        <v>629</v>
      </c>
      <c r="C88" s="0" t="s">
        <v>664</v>
      </c>
    </row>
    <row r="89" customFormat="false" ht="15" hidden="false" customHeight="false" outlineLevel="0" collapsed="false">
      <c r="A89" s="0" t="s">
        <v>703</v>
      </c>
      <c r="B89" s="0" t="s">
        <v>629</v>
      </c>
    </row>
    <row r="90" customFormat="false" ht="15" hidden="false" customHeight="false" outlineLevel="0" collapsed="false">
      <c r="A90" s="0" t="s">
        <v>704</v>
      </c>
      <c r="B90" s="0" t="s">
        <v>629</v>
      </c>
      <c r="C90" s="0" t="s">
        <v>664</v>
      </c>
    </row>
    <row r="91" customFormat="false" ht="15" hidden="false" customHeight="false" outlineLevel="0" collapsed="false">
      <c r="A91" s="0" t="s">
        <v>705</v>
      </c>
      <c r="B91" s="0" t="s">
        <v>629</v>
      </c>
    </row>
    <row r="92" customFormat="false" ht="15" hidden="false" customHeight="false" outlineLevel="0" collapsed="false">
      <c r="A92" s="0" t="s">
        <v>706</v>
      </c>
      <c r="B92" s="0" t="s">
        <v>629</v>
      </c>
    </row>
    <row r="93" customFormat="false" ht="15" hidden="false" customHeight="false" outlineLevel="0" collapsed="false">
      <c r="A93" s="0" t="s">
        <v>707</v>
      </c>
      <c r="B93" s="0" t="s">
        <v>629</v>
      </c>
      <c r="C93" s="0" t="s">
        <v>664</v>
      </c>
    </row>
    <row r="94" customFormat="false" ht="15" hidden="false" customHeight="false" outlineLevel="0" collapsed="false">
      <c r="A94" s="0" t="s">
        <v>708</v>
      </c>
      <c r="B94" s="0" t="s">
        <v>629</v>
      </c>
    </row>
    <row r="95" customFormat="false" ht="15" hidden="false" customHeight="false" outlineLevel="0" collapsed="false">
      <c r="A95" s="0" t="s">
        <v>709</v>
      </c>
      <c r="B95" s="0" t="s">
        <v>629</v>
      </c>
    </row>
    <row r="96" customFormat="false" ht="15" hidden="false" customHeight="false" outlineLevel="0" collapsed="false">
      <c r="A96" s="0" t="s">
        <v>710</v>
      </c>
      <c r="B96" s="0" t="s">
        <v>629</v>
      </c>
    </row>
    <row r="97" customFormat="false" ht="15" hidden="false" customHeight="false" outlineLevel="0" collapsed="false">
      <c r="A97" s="0" t="s">
        <v>711</v>
      </c>
      <c r="B97" s="0" t="s">
        <v>629</v>
      </c>
    </row>
    <row r="98" customFormat="false" ht="15" hidden="false" customHeight="false" outlineLevel="0" collapsed="false">
      <c r="A98" s="0" t="s">
        <v>712</v>
      </c>
      <c r="B98" s="0" t="s">
        <v>629</v>
      </c>
    </row>
    <row r="99" customFormat="false" ht="15" hidden="false" customHeight="false" outlineLevel="0" collapsed="false">
      <c r="A99" s="0" t="s">
        <v>713</v>
      </c>
      <c r="B99" s="0" t="s">
        <v>629</v>
      </c>
    </row>
    <row r="100" customFormat="false" ht="15" hidden="false" customHeight="false" outlineLevel="0" collapsed="false">
      <c r="A100" s="0" t="s">
        <v>714</v>
      </c>
      <c r="B100" s="0" t="s">
        <v>629</v>
      </c>
    </row>
    <row r="101" customFormat="false" ht="15" hidden="false" customHeight="false" outlineLevel="0" collapsed="false">
      <c r="A101" s="0" t="s">
        <v>715</v>
      </c>
      <c r="B101" s="0" t="s">
        <v>629</v>
      </c>
    </row>
    <row r="102" customFormat="false" ht="15" hidden="false" customHeight="false" outlineLevel="0" collapsed="false">
      <c r="A102" s="0" t="s">
        <v>716</v>
      </c>
      <c r="B102" s="0" t="s">
        <v>629</v>
      </c>
    </row>
    <row r="103" customFormat="false" ht="15" hidden="false" customHeight="false" outlineLevel="0" collapsed="false">
      <c r="A103" s="0" t="s">
        <v>717</v>
      </c>
      <c r="B103" s="0" t="s">
        <v>629</v>
      </c>
      <c r="C103" s="0" t="s">
        <v>718</v>
      </c>
    </row>
    <row r="104" customFormat="false" ht="15" hidden="false" customHeight="false" outlineLevel="0" collapsed="false">
      <c r="A104" s="0" t="s">
        <v>719</v>
      </c>
      <c r="B104" s="0" t="s">
        <v>629</v>
      </c>
    </row>
    <row r="105" customFormat="false" ht="15" hidden="false" customHeight="false" outlineLevel="0" collapsed="false">
      <c r="A105" s="0" t="s">
        <v>720</v>
      </c>
      <c r="B105" s="0" t="s">
        <v>629</v>
      </c>
    </row>
    <row r="106" customFormat="false" ht="15" hidden="false" customHeight="false" outlineLevel="0" collapsed="false">
      <c r="A106" s="0" t="s">
        <v>721</v>
      </c>
      <c r="B106" s="0" t="s">
        <v>629</v>
      </c>
    </row>
    <row r="107" customFormat="false" ht="15" hidden="false" customHeight="false" outlineLevel="0" collapsed="false">
      <c r="A107" s="0" t="s">
        <v>722</v>
      </c>
      <c r="B107" s="0" t="s">
        <v>629</v>
      </c>
    </row>
    <row r="108" customFormat="false" ht="15" hidden="false" customHeight="false" outlineLevel="0" collapsed="false">
      <c r="A108" s="0" t="s">
        <v>723</v>
      </c>
      <c r="B108" s="0" t="s">
        <v>629</v>
      </c>
    </row>
    <row r="109" customFormat="false" ht="15" hidden="false" customHeight="false" outlineLevel="0" collapsed="false">
      <c r="A109" s="0" t="s">
        <v>724</v>
      </c>
      <c r="B109" s="0" t="s">
        <v>629</v>
      </c>
    </row>
    <row r="110" customFormat="false" ht="15" hidden="false" customHeight="false" outlineLevel="0" collapsed="false">
      <c r="A110" s="0" t="s">
        <v>725</v>
      </c>
      <c r="B110" s="0" t="s">
        <v>629</v>
      </c>
    </row>
    <row r="111" customFormat="false" ht="15" hidden="false" customHeight="false" outlineLevel="0" collapsed="false">
      <c r="A111" s="0" t="s">
        <v>726</v>
      </c>
      <c r="B111" s="0" t="s">
        <v>629</v>
      </c>
    </row>
    <row r="112" customFormat="false" ht="15" hidden="false" customHeight="false" outlineLevel="0" collapsed="false">
      <c r="A112" s="0" t="s">
        <v>727</v>
      </c>
      <c r="B112" s="0" t="s">
        <v>629</v>
      </c>
      <c r="C112" s="0" t="s">
        <v>728</v>
      </c>
    </row>
    <row r="113" customFormat="false" ht="15" hidden="false" customHeight="false" outlineLevel="0" collapsed="false">
      <c r="A113" s="0" t="s">
        <v>729</v>
      </c>
      <c r="B113" s="0" t="s">
        <v>629</v>
      </c>
    </row>
    <row r="114" customFormat="false" ht="15" hidden="false" customHeight="false" outlineLevel="0" collapsed="false">
      <c r="A114" s="0" t="s">
        <v>730</v>
      </c>
      <c r="B114" s="0" t="s">
        <v>629</v>
      </c>
      <c r="C114" s="0" t="s">
        <v>731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55" t="s">
        <v>732</v>
      </c>
    </row>
    <row r="2" customFormat="false" ht="15" hidden="false" customHeight="false" outlineLevel="0" collapsed="false">
      <c r="A2" s="0" t="s">
        <v>733</v>
      </c>
    </row>
    <row r="3" customFormat="false" ht="15" hidden="false" customHeight="false" outlineLevel="0" collapsed="false">
      <c r="A3" s="0" t="s">
        <v>734</v>
      </c>
    </row>
    <row r="5" customFormat="false" ht="15" hidden="false" customHeight="false" outlineLevel="0" collapsed="false">
      <c r="A5" s="56" t="s">
        <v>735</v>
      </c>
    </row>
    <row r="6" customFormat="false" ht="15" hidden="false" customHeight="false" outlineLevel="0" collapsed="false">
      <c r="A6" s="0" t="s">
        <v>736</v>
      </c>
    </row>
    <row r="7" customFormat="false" ht="15" hidden="false" customHeight="false" outlineLevel="0" collapsed="false">
      <c r="A7" s="0" t="s">
        <v>737</v>
      </c>
    </row>
    <row r="9" customFormat="false" ht="15" hidden="false" customHeight="false" outlineLevel="0" collapsed="false">
      <c r="A9" s="56" t="s">
        <v>738</v>
      </c>
    </row>
    <row r="10" customFormat="false" ht="15" hidden="false" customHeight="false" outlineLevel="0" collapsed="false">
      <c r="A10" s="0" t="s">
        <v>739</v>
      </c>
    </row>
    <row r="11" customFormat="false" ht="15" hidden="false" customHeight="false" outlineLevel="0" collapsed="false">
      <c r="A11" s="0" t="s">
        <v>740</v>
      </c>
    </row>
    <row r="12" customFormat="false" ht="15" hidden="false" customHeight="false" outlineLevel="0" collapsed="false">
      <c r="A12" s="0" t="s">
        <v>741</v>
      </c>
    </row>
    <row r="13" customFormat="false" ht="15" hidden="false" customHeight="false" outlineLevel="0" collapsed="false">
      <c r="A13" s="0" t="s">
        <v>742</v>
      </c>
    </row>
    <row r="14" customFormat="false" ht="15" hidden="false" customHeight="false" outlineLevel="0" collapsed="false">
      <c r="A14" s="0" t="s">
        <v>743</v>
      </c>
    </row>
    <row r="15" customFormat="false" ht="15" hidden="false" customHeight="false" outlineLevel="0" collapsed="false">
      <c r="A15" s="0" t="s">
        <v>744</v>
      </c>
    </row>
    <row r="16" customFormat="false" ht="15" hidden="false" customHeight="false" outlineLevel="0" collapsed="false">
      <c r="A16" s="0" t="s">
        <v>745</v>
      </c>
    </row>
    <row r="17" customFormat="false" ht="15" hidden="false" customHeight="false" outlineLevel="0" collapsed="false">
      <c r="A17" s="0" t="s">
        <v>746</v>
      </c>
    </row>
    <row r="19" customFormat="false" ht="15" hidden="false" customHeight="false" outlineLevel="0" collapsed="false">
      <c r="A19" s="56" t="s">
        <v>747</v>
      </c>
    </row>
    <row r="20" customFormat="false" ht="15" hidden="false" customHeight="false" outlineLevel="0" collapsed="false">
      <c r="A20" s="0" t="s">
        <v>748</v>
      </c>
    </row>
    <row r="21" customFormat="false" ht="15" hidden="false" customHeight="false" outlineLevel="0" collapsed="false">
      <c r="A21" s="0" t="s">
        <v>749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2026-10-15T21:41:50Z</dcterms:created>
  <dc:creator>openpyxl</dc:creator>
  <dc:description/>
  <dc:language>en-US</dc:language>
  <cp:lastModifiedBy/>
  <dcterms:modified xsi:type="dcterms:W3CDTF">2026-10-15T21:41:51Z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